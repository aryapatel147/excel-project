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2cce8b54eafccb/Desktop/"/>
    </mc:Choice>
  </mc:AlternateContent>
  <xr:revisionPtr revIDLastSave="0" documentId="8_{956761D4-BFE2-43FE-86E8-5482E6CB83AF}" xr6:coauthVersionLast="47" xr6:coauthVersionMax="47" xr10:uidLastSave="{00000000-0000-0000-0000-000000000000}"/>
  <bookViews>
    <workbookView xWindow="-108" yWindow="-108" windowWidth="23256" windowHeight="12456" xr2:uid="{BBA3AA33-A047-47F1-B2C7-DF125381F679}"/>
  </bookViews>
  <sheets>
    <sheet name="Dashbord" sheetId="4" r:id="rId1"/>
    <sheet name="Data" sheetId="1" r:id="rId2"/>
    <sheet name="Linear Regression (Sales vs Pro" sheetId="2" r:id="rId3"/>
    <sheet name="Descriptive Statistics" sheetId="3" r:id="rId4"/>
  </sheets>
  <definedNames>
    <definedName name="_xlnm._FilterDatabase" localSheetId="1" hidden="1">Data!$A$2:$I$2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E3" i="4"/>
  <c r="D3" i="4"/>
  <c r="B3" i="4"/>
  <c r="V3" i="1"/>
  <c r="U3" i="1" a="1"/>
  <c r="U3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3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<sst xmlns="http://schemas.openxmlformats.org/spreadsheetml/2006/main" count="1083" uniqueCount="134">
  <si>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</si>
  <si>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</si>
  <si>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</si>
  <si>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</si>
  <si>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</si>
  <si>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</si>
  <si>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</si>
  <si>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</si>
  <si>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</si>
  <si>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</si>
  <si>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</si>
  <si>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</si>
  <si>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</si>
  <si>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</si>
  <si>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</si>
  <si>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</si>
  <si>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</si>
  <si>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</si>
  <si>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</si>
  <si>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</si>
  <si>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</si>
  <si>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</si>
  <si>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</si>
  <si>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</si>
  <si>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</si>
  <si>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</si>
  <si>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</si>
  <si>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</si>
  <si>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</si>
  <si>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</si>
  <si>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</si>
  <si>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</si>
  <si>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</si>
  <si>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</si>
  <si>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</si>
  <si>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</si>
  <si>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</si>
  <si>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</si>
  <si>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</si>
  <si>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</si>
  <si>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</si>
  <si>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</si>
  <si>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</si>
  <si>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</si>
  <si>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</si>
  <si>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</si>
  <si>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</si>
  <si>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</si>
  <si>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</si>
  <si>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</si>
  <si>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</si>
  <si>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</si>
  <si>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</si>
  <si>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</si>
  <si>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</si>
  <si>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</si>
  <si>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</si>
  <si>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</si>
  <si>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</si>
  <si>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</si>
  <si>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</si>
  <si>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</si>
  <si>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</si>
  <si>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</si>
  <si>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</si>
  <si>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</si>
  <si>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</si>
  <si>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</si>
  <si>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</si>
  <si>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</si>
  <si>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</si>
  <si>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</si>
  <si>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</si>
  <si>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</si>
  <si>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</si>
  <si>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</si>
  <si>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Top 10 Customers ko Conditional Formatting</t>
  </si>
  <si>
    <t>WHAT-IF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</si>
  <si>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</si>
  <si>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</si>
  <si>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</si>
  <si>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</si>
  <si>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</si>
  <si>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</si>
  <si>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</si>
  <si>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</si>
  <si>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</si>
  <si>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</si>
  <si>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</si>
  <si>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</si>
  <si>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</si>
  <si>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</si>
  <si>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</si>
  <si>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</si>
  <si>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</si>
  <si>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</si>
  <si>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</si>
  <si>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</si>
  <si>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</si>
  <si>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</si>
  <si>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</si>
  <si>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</si>
  <si>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</si>
  <si>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</si>
  <si>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</si>
  <si>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</si>
  <si>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</si>
  <si>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</si>
  <si>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</si>
  <si>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</si>
  <si>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</si>
  <si>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</si>
  <si>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</si>
  <si>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</si>
  <si>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</si>
  <si>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</si>
  <si>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Symbols / Arrows – Sales Growth</t>
  </si>
  <si>
    <t>Sales Growth</t>
  </si>
  <si>
    <t>Timestamp Column</t>
  </si>
  <si>
    <t>High-Value Customers identify</t>
  </si>
  <si>
    <t>INDEX + MATCH</t>
  </si>
  <si>
    <t>Row Labels</t>
  </si>
  <si>
    <t>Grand Total</t>
  </si>
  <si>
    <t>Column Labels</t>
  </si>
  <si>
    <t>Sum of Sales</t>
  </si>
  <si>
    <t>Pivot Table (Region &amp; Product wise Sales)</t>
  </si>
  <si>
    <t>Charts</t>
  </si>
  <si>
    <t>Bar Chart</t>
  </si>
  <si>
    <t>Line Chart</t>
  </si>
  <si>
    <t>Pie Chart</t>
  </si>
  <si>
    <t>TOTAL SALES</t>
  </si>
  <si>
    <t>TOTAL PROFIT</t>
  </si>
  <si>
    <t>TOP CUSTOMER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</si>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</sst>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right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22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1" fillId="0" borderId="1" xfId="0" applyNumberFormat="1" applyFont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A-482B-B469-C4017CECCF2E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A-482B-B469-C4017CECCF2E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A-482B-B469-C4017CECCF2E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A-482B-B469-C4017CECCF2E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A-482B-B469-C4017CECC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417600"/>
        <c:axId val="292412320"/>
      </c:barChart>
      <c:catAx>
        <c:axId val="2924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2320"/>
        <c:crosses val="autoZero"/>
        <c:auto val="1"/>
        <c:lblAlgn val="ctr"/>
        <c:lblOffset val="100"/>
        <c:noMultiLvlLbl val="0"/>
      </c:catAx>
      <c:valAx>
        <c:axId val="2924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A-4CB8-8ECB-E1222A8EF358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A-4CB8-8ECB-E1222A8EF358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A-4CB8-8ECB-E1222A8EF358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FA-4CB8-8ECB-E1222A8EF358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FA-4CB8-8ECB-E1222A8E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48032"/>
        <c:axId val="292414240"/>
      </c:lineChart>
      <c:catAx>
        <c:axId val="4633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4240"/>
        <c:crosses val="autoZero"/>
        <c:auto val="1"/>
        <c:lblAlgn val="ctr"/>
        <c:lblOffset val="100"/>
        <c:noMultiLvlLbl val="0"/>
      </c:catAx>
      <c:valAx>
        <c:axId val="2924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3F-46B3-B6BF-D0A73E264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3F-46B3-B6BF-D0A73E264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3F-46B3-B6BF-D0A73E264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3F-46B3-B6BF-D0A73E264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3F-46B3-B6BF-D0A73E264F41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3F-46B3-B6BF-D0A73E264F41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B3F-46B3-B6BF-D0A73E264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B3F-46B3-B6BF-D0A73E264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B3F-46B3-B6BF-D0A73E264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B3F-46B3-B6BF-D0A73E264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B3F-46B3-B6BF-D0A73E264F41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3F-46B3-B6BF-D0A73E264F41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B3F-46B3-B6BF-D0A73E264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B3F-46B3-B6BF-D0A73E264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B3F-46B3-B6BF-D0A73E264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B3F-46B3-B6BF-D0A73E264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B3F-46B3-B6BF-D0A73E264F41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B3F-46B3-B6BF-D0A73E264F41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B3F-46B3-B6BF-D0A73E264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6B3F-46B3-B6BF-D0A73E264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6B3F-46B3-B6BF-D0A73E264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6B3F-46B3-B6BF-D0A73E264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6B3F-46B3-B6BF-D0A73E264F41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B3F-46B3-B6BF-D0A73E264F41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B3F-46B3-B6BF-D0A73E264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B3F-46B3-B6BF-D0A73E264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B3F-46B3-B6BF-D0A73E264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B3F-46B3-B6BF-D0A73E264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B3F-46B3-B6BF-D0A73E264F41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B3F-46B3-B6BF-D0A73E26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F-44E4-9C44-FA5D1BFDAFB1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F-44E4-9C44-FA5D1BFDAFB1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F-44E4-9C44-FA5D1BFDAFB1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F-44E4-9C44-FA5D1BFDAFB1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F-44E4-9C44-FA5D1BFDA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417600"/>
        <c:axId val="292412320"/>
      </c:barChart>
      <c:catAx>
        <c:axId val="2924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2320"/>
        <c:crosses val="autoZero"/>
        <c:auto val="1"/>
        <c:lblAlgn val="ctr"/>
        <c:lblOffset val="100"/>
        <c:noMultiLvlLbl val="0"/>
      </c:catAx>
      <c:valAx>
        <c:axId val="2924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7-4A99-935F-275819429375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7-4A99-935F-275819429375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7-4A99-935F-275819429375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17-4A99-935F-275819429375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17-4A99-935F-27581942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48032"/>
        <c:axId val="292414240"/>
      </c:lineChart>
      <c:catAx>
        <c:axId val="4633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4240"/>
        <c:crosses val="autoZero"/>
        <c:auto val="1"/>
        <c:lblAlgn val="ctr"/>
        <c:lblOffset val="100"/>
        <c:noMultiLvlLbl val="0"/>
      </c:catAx>
      <c:valAx>
        <c:axId val="2924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[arya Analyzer.xlsx]Data!PivotTable1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4F-44F3-AD07-31A0F31B3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4F-44F3-AD07-31A0F31B3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4F-44F3-AD07-31A0F31B3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4F-44F3-AD07-31A0F31B3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4F-44F3-AD07-31A0F31B3C87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3-4F0B-B147-60CE707B91E5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4F-44F3-AD07-31A0F31B3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4F-44F3-AD07-31A0F31B3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4F-44F3-AD07-31A0F31B3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4F-44F3-AD07-31A0F31B3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64F-44F3-AD07-31A0F31B3C87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3-4F0B-B147-60CE707B91E5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4F-44F3-AD07-31A0F31B3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4F-44F3-AD07-31A0F31B3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4F-44F3-AD07-31A0F31B3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64F-44F3-AD07-31A0F31B3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4F-44F3-AD07-31A0F31B3C87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3-4F0B-B147-60CE707B91E5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64F-44F3-AD07-31A0F31B3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4F-44F3-AD07-31A0F31B3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64F-44F3-AD07-31A0F31B3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64F-44F3-AD07-31A0F31B3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64F-44F3-AD07-31A0F31B3C87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E3-4F0B-B147-60CE707B91E5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64F-44F3-AD07-31A0F31B3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64F-44F3-AD07-31A0F31B3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64F-44F3-AD07-31A0F31B3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64F-44F3-AD07-31A0F31B3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64F-44F3-AD07-31A0F31B3C87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E3-4F0B-B147-60CE707B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15240</xdr:rowOff>
    </xdr:from>
    <xdr:to>
      <xdr:col>4</xdr:col>
      <xdr:colOff>640080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D279F-A424-4C96-83E4-8CF91B5F3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1234439</xdr:colOff>
      <xdr:row>4</xdr:row>
      <xdr:rowOff>0</xdr:rowOff>
    </xdr:from>
    <xdr:to>
      <xdr:col>11</xdr:col>
      <xdr:colOff>106680</xdr:colOff>
      <xdr:row>13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85C98-7B9B-4F09-AFCC-5163FAF35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7621</xdr:colOff>
      <xdr:row>3</xdr:row>
      <xdr:rowOff>175260</xdr:rowOff>
    </xdr:from>
    <xdr:to>
      <xdr:col>16</xdr:col>
      <xdr:colOff>259080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E5DA9-999E-4078-BEAD-095B58607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</xdr:colOff>
      <xdr:row>13</xdr:row>
      <xdr:rowOff>137160</xdr:rowOff>
    </xdr:from>
    <xdr:to>
      <xdr:col>10</xdr:col>
      <xdr:colOff>45720</xdr:colOff>
      <xdr:row>19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609F0A-9CCC-30DB-2956-824DEBA7080A}"/>
            </a:ext>
          </a:extLst>
        </xdr:cNvPr>
        <xdr:cNvSpPr txBox="1"/>
      </xdr:nvSpPr>
      <xdr:spPr>
        <a:xfrm>
          <a:off x="1143000" y="2514600"/>
          <a:ext cx="5867400" cy="11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• West region contributes the highest share of total sales.</a:t>
          </a:r>
          <a:br>
            <a:rPr lang="en-IN"/>
          </a:br>
          <a:r>
            <a:rPr lang="en-IN" b="1"/>
            <a:t>• Clothing and Electronics are the top-performing product categories.</a:t>
          </a:r>
          <a:br>
            <a:rPr lang="en-IN"/>
          </a:br>
          <a:r>
            <a:rPr lang="en-IN" b="1"/>
            <a:t>• A small group of high-value customers generates a major portion of revenue.</a:t>
          </a:r>
          <a:br>
            <a:rPr lang="en-IN"/>
          </a:br>
          <a:r>
            <a:rPr lang="en-IN" b="1"/>
            <a:t>• Sales and profit show a strong positive relationship based on regression analysis.</a:t>
          </a:r>
          <a:br>
            <a:rPr lang="en-IN"/>
          </a:br>
          <a:r>
            <a:rPr lang="en-IN" b="1"/>
            <a:t>• Discounts impact profit significantly, as observed in the What-If analysis.</a:t>
          </a:r>
          <a:endParaRPr lang="en-IN"/>
        </a:p>
        <a:p>
          <a:endParaRPr lang="en-IN" sz="1100"/>
        </a:p>
      </xdr:txBody>
    </xdr:sp>
    <xdr:clientData/>
  </xdr:twoCellAnchor>
  <xdr:oneCellAnchor>
    <xdr:from>
      <xdr:col>15</xdr:col>
      <xdr:colOff>114300</xdr:colOff>
      <xdr:row>1</xdr:row>
      <xdr:rowOff>114300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70300D-D1ED-4D3C-001D-448A20A0BE95}"/>
            </a:ext>
          </a:extLst>
        </xdr:cNvPr>
        <xdr:cNvSpPr txBox="1"/>
      </xdr:nvSpPr>
      <xdr:spPr>
        <a:xfrm>
          <a:off x="10126980" y="297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571499</xdr:colOff>
      <xdr:row>15</xdr:row>
      <xdr:rowOff>10584</xdr:rowOff>
    </xdr:from>
    <xdr:to>
      <xdr:col>30</xdr:col>
      <xdr:colOff>10583</xdr:colOff>
      <xdr:row>27</xdr:row>
      <xdr:rowOff>170392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3DD2D-2E06-442F-1EEE-61A9CE590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608540</xdr:colOff>
      <xdr:row>30</xdr:row>
      <xdr:rowOff>30691</xdr:rowOff>
    </xdr:from>
    <xdr:to>
      <xdr:col>29</xdr:col>
      <xdr:colOff>740831</xdr:colOff>
      <xdr:row>45</xdr:row>
      <xdr:rowOff>75141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F2B69-1614-526A-A3AB-9EA96A451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15876</xdr:colOff>
      <xdr:row>48</xdr:row>
      <xdr:rowOff>30692</xdr:rowOff>
    </xdr:from>
    <xdr:to>
      <xdr:col>29</xdr:col>
      <xdr:colOff>719666</xdr:colOff>
      <xdr:row>63</xdr:row>
      <xdr:rowOff>75142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B8DEB0-B832-E31D-767E-CF54724C1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ag Singh" refreshedDate="46042.863153935185" createdVersion="8" refreshedVersion="8" minRefreshableVersion="3" recordCount="200" xr:uid="{1FF2E949-F310-4D10-8C0B-E308EE3D5D53}">
  <cacheSource type="worksheet">
    <worksheetSource ref="A2:I202" sheet="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F0A4F-29E0-42F6-8C77-EABA18214E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X3:AD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numFmtId="9"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10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Col="1" outline="0" fieldPosition="0"/>
    </format>
  </formats>
  <chartFormats count="8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1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1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1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1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1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1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1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1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1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1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1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1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1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1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1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1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1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1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1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1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EC67-E848-48FC-ABDC-D26E9982D350}">
  <dimension ref="B2:E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defaultRowHeight="14.4" x14ac:dyDescent="0.3"/>
  <cols>
    <col min="1" max="1" width="4.88671875" customWidth="1"/>
    <col min="2" max="2" width="11.5546875" bestFit="1" customWidth="1"/>
    <col min="3" max="3" width="13.6640625" bestFit="1" customWidth="1"/>
    <col min="4" max="4" width="14.33203125" bestFit="1" customWidth="1"/>
    <col min="5" max="5" width="18.109375" bestFit="1" customWidth="1"/>
    <col min="6" max="6" width="3.44140625" customWidth="1"/>
  </cols>
  <sheetData>
    <row r="2" spans="2:5" x14ac:dyDescent="0.3">
      <c r="B2" s="5" t="s">
        <v>130</v>
      </c>
      <c r="C2" s="5" t="s">
        <v>131</v>
      </c>
      <c r="D2" s="5" t="s">
        <v>132</v>
      </c>
      <c r="E2" s="5" t="s">
        <v>133</v>
      </c>
    </row>
    <row r="3" spans="2:5" x14ac:dyDescent="0.3">
      <c r="B3" s="18">
        <f>SUM(Data!E3:E202)</f>
        <v>195217.75999999992</v>
      </c>
      <c r="C3" s="18">
        <f>SUM(Data!O3:O202)</f>
        <v>175945.00249999983</v>
      </c>
      <c r="D3" s="5" t="str">
        <f>INDEX(Data!B3:B202, MATCH(MAX(Data!E3:E202), Data!E3:E202, 0))</f>
        <v>James Wilson</v>
      </c>
      <c r="E3" s="17">
        <f>AVERAGE(Data!G3:G202)</f>
        <v>9.7250000000000003E-2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EFB9-F7B7-4FA1-A839-494A7ED453FB}">
  <dimension ref="A1:AD202"/>
  <sheetViews>
    <sheetView zoomScale="72" zoomScaleNormal="72" workbookViewId="0">
      <pane xSplit="2" ySplit="2" topLeftCell="AK54" activePane="bottomRight" state="frozen"/>
      <selection pane="topRight" activeCell="C1" sqref="C1"/>
      <selection pane="bottomLeft" activeCell="A2" sqref="A2"/>
      <selection pane="bottomRight" activeCell="V10" sqref="V10"/>
    </sheetView>
  </sheetViews>
  <sheetFormatPr defaultRowHeight="14.4" x14ac:dyDescent="0.3"/>
  <cols>
    <col min="1" max="1" width="11.88671875" bestFit="1" customWidth="1"/>
    <col min="2" max="2" width="15.6640625" bestFit="1" customWidth="1"/>
    <col min="3" max="3" width="9.21875" customWidth="1"/>
    <col min="4" max="4" width="16.33203125" bestFit="1" customWidth="1"/>
    <col min="5" max="5" width="8" bestFit="1" customWidth="1"/>
    <col min="6" max="6" width="8.33203125" bestFit="1" customWidth="1"/>
    <col min="7" max="7" width="11.5546875" customWidth="1"/>
    <col min="8" max="8" width="10.6640625" bestFit="1" customWidth="1"/>
    <col min="9" max="9" width="9.77734375" customWidth="1"/>
    <col min="12" max="12" width="17.109375" customWidth="1"/>
    <col min="13" max="13" width="17.21875" customWidth="1"/>
    <col min="15" max="15" width="16.21875" customWidth="1"/>
    <col min="17" max="17" width="24.21875" customWidth="1"/>
    <col min="19" max="19" width="16.33203125" bestFit="1" customWidth="1"/>
    <col min="21" max="21" width="18" customWidth="1"/>
    <col min="22" max="22" width="13.6640625" customWidth="1"/>
    <col min="24" max="24" width="13.5546875" bestFit="1" customWidth="1"/>
    <col min="25" max="25" width="14" customWidth="1"/>
    <col min="26" max="26" width="9.6640625" bestFit="1" customWidth="1"/>
    <col min="27" max="27" width="10" bestFit="1" customWidth="1"/>
    <col min="28" max="28" width="9.6640625" bestFit="1" customWidth="1"/>
    <col min="29" max="29" width="13.5546875" bestFit="1" customWidth="1"/>
    <col min="30" max="30" width="10.77734375" bestFit="1" customWidth="1"/>
  </cols>
  <sheetData>
    <row r="1" spans="1:30" ht="34.200000000000003" customHeight="1" x14ac:dyDescent="0.35">
      <c r="L1" s="23" t="s">
        <v>76</v>
      </c>
      <c r="M1" s="23"/>
      <c r="O1" s="24" t="s">
        <v>77</v>
      </c>
      <c r="Q1" s="25" t="s">
        <v>116</v>
      </c>
      <c r="S1" s="25" t="s">
        <v>118</v>
      </c>
      <c r="U1" s="26" t="s">
        <v>119</v>
      </c>
      <c r="V1" s="26" t="s">
        <v>120</v>
      </c>
      <c r="X1" s="20" t="s">
        <v>125</v>
      </c>
      <c r="Y1" s="20"/>
      <c r="Z1" s="20"/>
      <c r="AA1" s="20"/>
      <c r="AB1" s="20"/>
      <c r="AC1" s="20"/>
      <c r="AD1" s="20"/>
    </row>
    <row r="2" spans="1:3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L2" s="5" t="s">
        <v>1</v>
      </c>
      <c r="M2" s="5" t="s">
        <v>4</v>
      </c>
      <c r="O2" s="5" t="s">
        <v>8</v>
      </c>
      <c r="Q2" s="5" t="s">
        <v>117</v>
      </c>
      <c r="S2" s="2"/>
      <c r="U2" s="2"/>
      <c r="V2" s="2"/>
      <c r="X2" s="15"/>
      <c r="AD2" s="16"/>
    </row>
    <row r="3" spans="1:30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1036.0899999999999</v>
      </c>
      <c r="F3" s="3">
        <v>4</v>
      </c>
      <c r="G3" s="6">
        <v>0.2</v>
      </c>
      <c r="H3" s="4">
        <v>45392</v>
      </c>
      <c r="I3" s="3">
        <v>331.55</v>
      </c>
      <c r="L3" s="2" t="s">
        <v>10</v>
      </c>
      <c r="M3" s="3">
        <v>1036.0899999999999</v>
      </c>
      <c r="O3" s="2">
        <f>E3*(1-G3)</f>
        <v>828.87199999999996</v>
      </c>
      <c r="Q3" s="2" t="e">
        <f>(E3-E2)/E2</f>
        <v>#VALUE!</v>
      </c>
      <c r="S3" s="10">
        <f ca="1">NOW()</f>
        <v>46044.478013310189</v>
      </c>
      <c r="U3" s="2" t="str" cm="1">
        <f t="array" ref="U3:U96">_xlfn._xlws.FILTER(B3:B202, E3:E202&gt;1000)</f>
        <v>James Davis</v>
      </c>
      <c r="V3" s="2" t="str">
        <f>INDEX(B:B,MATCH(MAX(E:E),E:E,0))</f>
        <v>James Wilson</v>
      </c>
      <c r="X3" s="13" t="s">
        <v>124</v>
      </c>
      <c r="Y3" s="13" t="s">
        <v>123</v>
      </c>
      <c r="Z3" s="14"/>
      <c r="AA3" s="14"/>
      <c r="AB3" s="14"/>
      <c r="AC3" s="14"/>
      <c r="AD3" s="14"/>
    </row>
    <row r="4" spans="1:30" x14ac:dyDescent="0.3">
      <c r="A4" s="2" t="s">
        <v>13</v>
      </c>
      <c r="B4" s="2" t="s">
        <v>14</v>
      </c>
      <c r="C4" s="2" t="s">
        <v>11</v>
      </c>
      <c r="D4" s="2" t="s">
        <v>15</v>
      </c>
      <c r="E4" s="3">
        <v>1101.28</v>
      </c>
      <c r="F4" s="3">
        <v>3</v>
      </c>
      <c r="G4" s="6">
        <v>0.2</v>
      </c>
      <c r="H4" s="4">
        <v>45393</v>
      </c>
      <c r="I4" s="3">
        <v>440.51</v>
      </c>
      <c r="L4" s="2" t="s">
        <v>14</v>
      </c>
      <c r="M4" s="3">
        <v>1101.28</v>
      </c>
      <c r="O4" s="2">
        <f t="shared" ref="O4:O67" si="0">E4*(1-G4)</f>
        <v>881.024</v>
      </c>
      <c r="Q4" s="2">
        <f t="shared" ref="Q4:Q67" si="1">(E4-E3)/E3</f>
        <v>6.2919244467179544E-2</v>
      </c>
      <c r="S4" s="10">
        <f t="shared" ref="S4:S67" ca="1" si="2">NOW()</f>
        <v>46044.478013310189</v>
      </c>
      <c r="U4" s="2" t="str">
        <v>Robert Anderson</v>
      </c>
      <c r="X4" s="11" t="s">
        <v>121</v>
      </c>
      <c r="Y4" s="2" t="s">
        <v>12</v>
      </c>
      <c r="Z4" s="2" t="s">
        <v>15</v>
      </c>
      <c r="AA4" s="2" t="s">
        <v>21</v>
      </c>
      <c r="AB4" s="2" t="s">
        <v>27</v>
      </c>
      <c r="AC4" s="2" t="s">
        <v>39</v>
      </c>
      <c r="AD4" s="2" t="s">
        <v>122</v>
      </c>
    </row>
    <row r="5" spans="1:30" x14ac:dyDescent="0.3">
      <c r="A5" s="2" t="s">
        <v>16</v>
      </c>
      <c r="B5" s="2" t="s">
        <v>17</v>
      </c>
      <c r="C5" s="2" t="s">
        <v>18</v>
      </c>
      <c r="D5" s="2" t="s">
        <v>12</v>
      </c>
      <c r="E5" s="3">
        <v>713.34</v>
      </c>
      <c r="F5" s="3">
        <v>17</v>
      </c>
      <c r="G5" s="6">
        <v>0</v>
      </c>
      <c r="H5" s="4">
        <v>45396</v>
      </c>
      <c r="I5" s="3">
        <v>285.33999999999997</v>
      </c>
      <c r="L5" s="2" t="s">
        <v>17</v>
      </c>
      <c r="M5" s="3">
        <v>713.34</v>
      </c>
      <c r="O5" s="2">
        <f t="shared" si="0"/>
        <v>713.34</v>
      </c>
      <c r="Q5" s="2">
        <f t="shared" si="1"/>
        <v>-0.35226282144413767</v>
      </c>
      <c r="S5" s="10">
        <f t="shared" ca="1" si="2"/>
        <v>46044.478013310189</v>
      </c>
      <c r="U5" s="2" t="str">
        <v>Linda Wilson</v>
      </c>
      <c r="X5" s="12" t="s">
        <v>34</v>
      </c>
      <c r="Y5" s="2">
        <v>11297.150000000001</v>
      </c>
      <c r="Z5" s="2">
        <v>12200.26</v>
      </c>
      <c r="AA5" s="2">
        <v>6621.24</v>
      </c>
      <c r="AB5" s="2">
        <v>4876.96</v>
      </c>
      <c r="AC5" s="2">
        <v>8472.7199999999993</v>
      </c>
      <c r="AD5" s="2">
        <v>43468.33</v>
      </c>
    </row>
    <row r="6" spans="1:30" x14ac:dyDescent="0.3">
      <c r="A6" s="2" t="s">
        <v>19</v>
      </c>
      <c r="B6" s="2" t="s">
        <v>14</v>
      </c>
      <c r="C6" s="2" t="s">
        <v>20</v>
      </c>
      <c r="D6" s="2" t="s">
        <v>21</v>
      </c>
      <c r="E6" s="3">
        <v>760.93</v>
      </c>
      <c r="F6" s="3">
        <v>4</v>
      </c>
      <c r="G6" s="6">
        <v>0.15</v>
      </c>
      <c r="H6" s="4">
        <v>45396</v>
      </c>
      <c r="I6" s="3">
        <v>161.69999999999999</v>
      </c>
      <c r="L6" s="2" t="s">
        <v>14</v>
      </c>
      <c r="M6" s="3">
        <v>760.93</v>
      </c>
      <c r="O6" s="2">
        <f t="shared" si="0"/>
        <v>646.79049999999995</v>
      </c>
      <c r="Q6" s="2">
        <f t="shared" si="1"/>
        <v>6.6714329772618833E-2</v>
      </c>
      <c r="S6" s="10">
        <f t="shared" ca="1" si="2"/>
        <v>46044.478013310189</v>
      </c>
      <c r="U6" s="2" t="str">
        <v>Mary Davis</v>
      </c>
      <c r="X6" s="12" t="s">
        <v>18</v>
      </c>
      <c r="Y6" s="2">
        <v>11389.090000000002</v>
      </c>
      <c r="Z6" s="2">
        <v>2401.4499999999998</v>
      </c>
      <c r="AA6" s="2">
        <v>2869.54</v>
      </c>
      <c r="AB6" s="2">
        <v>7592.3399999999992</v>
      </c>
      <c r="AC6" s="2">
        <v>8189.2200000000012</v>
      </c>
      <c r="AD6" s="2">
        <v>32441.640000000003</v>
      </c>
    </row>
    <row r="7" spans="1:30" x14ac:dyDescent="0.3">
      <c r="A7" s="2" t="s">
        <v>22</v>
      </c>
      <c r="B7" s="2" t="s">
        <v>23</v>
      </c>
      <c r="C7" s="2" t="s">
        <v>24</v>
      </c>
      <c r="D7" s="2" t="s">
        <v>12</v>
      </c>
      <c r="E7" s="3">
        <v>847</v>
      </c>
      <c r="F7" s="3">
        <v>12</v>
      </c>
      <c r="G7" s="6">
        <v>0.2</v>
      </c>
      <c r="H7" s="4">
        <v>45397</v>
      </c>
      <c r="I7" s="3">
        <v>271.04000000000002</v>
      </c>
      <c r="L7" s="2" t="s">
        <v>23</v>
      </c>
      <c r="M7" s="3">
        <v>847</v>
      </c>
      <c r="O7" s="2">
        <f t="shared" si="0"/>
        <v>677.6</v>
      </c>
      <c r="Q7" s="2">
        <f t="shared" si="1"/>
        <v>0.1131115871367932</v>
      </c>
      <c r="S7" s="10">
        <f t="shared" ca="1" si="2"/>
        <v>46044.478013310189</v>
      </c>
      <c r="U7" s="2" t="str">
        <v>Emma Davis</v>
      </c>
      <c r="X7" s="12" t="s">
        <v>24</v>
      </c>
      <c r="Y7" s="2">
        <v>8037.0100000000011</v>
      </c>
      <c r="Z7" s="2">
        <v>8422.82</v>
      </c>
      <c r="AA7" s="2">
        <v>8191.7099999999991</v>
      </c>
      <c r="AB7" s="2">
        <v>6978.08</v>
      </c>
      <c r="AC7" s="2">
        <v>3345.8</v>
      </c>
      <c r="AD7" s="2">
        <v>34975.420000000006</v>
      </c>
    </row>
    <row r="8" spans="1:30" x14ac:dyDescent="0.3">
      <c r="A8" s="2" t="s">
        <v>25</v>
      </c>
      <c r="B8" s="2" t="s">
        <v>26</v>
      </c>
      <c r="C8" s="2" t="s">
        <v>24</v>
      </c>
      <c r="D8" s="2" t="s">
        <v>27</v>
      </c>
      <c r="E8" s="3">
        <v>965.64</v>
      </c>
      <c r="F8" s="3">
        <v>8</v>
      </c>
      <c r="G8" s="6">
        <v>0.1</v>
      </c>
      <c r="H8" s="4">
        <v>45398</v>
      </c>
      <c r="I8" s="3">
        <v>304.18</v>
      </c>
      <c r="L8" s="2" t="s">
        <v>26</v>
      </c>
      <c r="M8" s="3">
        <v>965.64</v>
      </c>
      <c r="O8" s="2">
        <f t="shared" si="0"/>
        <v>869.07600000000002</v>
      </c>
      <c r="Q8" s="2">
        <f t="shared" si="1"/>
        <v>0.14007083825265643</v>
      </c>
      <c r="S8" s="10">
        <f t="shared" ca="1" si="2"/>
        <v>46044.478013310189</v>
      </c>
      <c r="U8" s="2" t="str">
        <v>David Thomas</v>
      </c>
      <c r="X8" s="12" t="s">
        <v>20</v>
      </c>
      <c r="Y8" s="2">
        <v>9588.0400000000009</v>
      </c>
      <c r="Z8" s="2">
        <v>8393.630000000001</v>
      </c>
      <c r="AA8" s="2">
        <v>11989.070000000003</v>
      </c>
      <c r="AB8" s="2">
        <v>7982.73</v>
      </c>
      <c r="AC8" s="2">
        <v>2295.3199999999997</v>
      </c>
      <c r="AD8" s="2">
        <v>40248.79</v>
      </c>
    </row>
    <row r="9" spans="1:30" x14ac:dyDescent="0.3">
      <c r="A9" s="2" t="s">
        <v>28</v>
      </c>
      <c r="B9" s="2" t="s">
        <v>29</v>
      </c>
      <c r="C9" s="2" t="s">
        <v>11</v>
      </c>
      <c r="D9" s="2" t="s">
        <v>21</v>
      </c>
      <c r="E9" s="3">
        <v>1317.53</v>
      </c>
      <c r="F9" s="3">
        <v>12</v>
      </c>
      <c r="G9" s="6">
        <v>0.05</v>
      </c>
      <c r="H9" s="4">
        <v>45398</v>
      </c>
      <c r="I9" s="3">
        <v>312.91000000000003</v>
      </c>
      <c r="L9" s="2" t="s">
        <v>29</v>
      </c>
      <c r="M9" s="3">
        <v>1317.53</v>
      </c>
      <c r="O9" s="2">
        <f t="shared" si="0"/>
        <v>1251.6534999999999</v>
      </c>
      <c r="Q9" s="2">
        <f t="shared" si="1"/>
        <v>0.36441116772296095</v>
      </c>
      <c r="S9" s="10">
        <f t="shared" ca="1" si="2"/>
        <v>46044.478013310189</v>
      </c>
      <c r="U9" s="2" t="str">
        <v>Michael Anderson</v>
      </c>
      <c r="X9" s="12" t="s">
        <v>11</v>
      </c>
      <c r="Y9" s="2">
        <v>6691.17</v>
      </c>
      <c r="Z9" s="2">
        <v>10509.429999999998</v>
      </c>
      <c r="AA9" s="2">
        <v>11372.44</v>
      </c>
      <c r="AB9" s="2">
        <v>9182.7800000000007</v>
      </c>
      <c r="AC9" s="2">
        <v>6327.76</v>
      </c>
      <c r="AD9" s="2">
        <v>44083.58</v>
      </c>
    </row>
    <row r="10" spans="1:30" x14ac:dyDescent="0.3">
      <c r="A10" s="2" t="s">
        <v>30</v>
      </c>
      <c r="B10" s="2" t="s">
        <v>31</v>
      </c>
      <c r="C10" s="2" t="s">
        <v>18</v>
      </c>
      <c r="D10" s="2" t="s">
        <v>27</v>
      </c>
      <c r="E10" s="3">
        <v>1074.47</v>
      </c>
      <c r="F10" s="3">
        <v>6</v>
      </c>
      <c r="G10" s="6">
        <v>0.2</v>
      </c>
      <c r="H10" s="4">
        <v>45401</v>
      </c>
      <c r="I10" s="3">
        <v>300.85000000000002</v>
      </c>
      <c r="L10" s="2" t="s">
        <v>31</v>
      </c>
      <c r="M10" s="3">
        <v>1074.47</v>
      </c>
      <c r="O10" s="2">
        <f t="shared" si="0"/>
        <v>859.57600000000002</v>
      </c>
      <c r="Q10" s="2">
        <f t="shared" si="1"/>
        <v>-0.18448156778213776</v>
      </c>
      <c r="S10" s="10">
        <f t="shared" ca="1" si="2"/>
        <v>46044.478013310189</v>
      </c>
      <c r="U10" s="2" t="str">
        <v>Sarah Anderson</v>
      </c>
      <c r="X10" s="12" t="s">
        <v>122</v>
      </c>
      <c r="Y10" s="2">
        <v>47002.460000000006</v>
      </c>
      <c r="Z10" s="2">
        <v>41927.589999999997</v>
      </c>
      <c r="AA10" s="2">
        <v>41044</v>
      </c>
      <c r="AB10" s="2">
        <v>36612.89</v>
      </c>
      <c r="AC10" s="2">
        <v>28630.82</v>
      </c>
      <c r="AD10" s="2">
        <v>195217.76</v>
      </c>
    </row>
    <row r="11" spans="1:30" x14ac:dyDescent="0.3">
      <c r="A11" s="2" t="s">
        <v>32</v>
      </c>
      <c r="B11" s="2" t="s">
        <v>33</v>
      </c>
      <c r="C11" s="2" t="s">
        <v>34</v>
      </c>
      <c r="D11" s="2" t="s">
        <v>12</v>
      </c>
      <c r="E11" s="3">
        <v>501.54</v>
      </c>
      <c r="F11" s="3">
        <v>11</v>
      </c>
      <c r="G11" s="6">
        <v>0.05</v>
      </c>
      <c r="H11" s="4">
        <v>45401</v>
      </c>
      <c r="I11" s="3">
        <v>190.59</v>
      </c>
      <c r="L11" s="2" t="s">
        <v>33</v>
      </c>
      <c r="M11" s="3">
        <v>501.54</v>
      </c>
      <c r="O11" s="2">
        <f t="shared" si="0"/>
        <v>476.46300000000002</v>
      </c>
      <c r="Q11" s="2">
        <f t="shared" si="1"/>
        <v>-0.53322102990311504</v>
      </c>
      <c r="S11" s="10">
        <f t="shared" ca="1" si="2"/>
        <v>46044.478013310189</v>
      </c>
      <c r="U11" s="2" t="str">
        <v>Mary Jackson</v>
      </c>
    </row>
    <row r="12" spans="1:30" x14ac:dyDescent="0.3">
      <c r="A12" s="2" t="s">
        <v>35</v>
      </c>
      <c r="B12" s="2" t="s">
        <v>36</v>
      </c>
      <c r="C12" s="2" t="s">
        <v>34</v>
      </c>
      <c r="D12" s="2" t="s">
        <v>15</v>
      </c>
      <c r="E12" s="3">
        <v>737.31</v>
      </c>
      <c r="F12" s="3">
        <v>2</v>
      </c>
      <c r="G12" s="6">
        <v>0.05</v>
      </c>
      <c r="H12" s="4">
        <v>45401</v>
      </c>
      <c r="I12" s="3">
        <v>350.22</v>
      </c>
      <c r="L12" s="2" t="s">
        <v>36</v>
      </c>
      <c r="M12" s="3">
        <v>737.31</v>
      </c>
      <c r="O12" s="2">
        <f t="shared" si="0"/>
        <v>700.44449999999995</v>
      </c>
      <c r="Q12" s="2">
        <f t="shared" si="1"/>
        <v>0.47009211628185171</v>
      </c>
      <c r="S12" s="10">
        <f t="shared" ca="1" si="2"/>
        <v>46044.478013310189</v>
      </c>
      <c r="U12" s="2" t="str">
        <v>Linda Brown</v>
      </c>
    </row>
    <row r="13" spans="1:30" x14ac:dyDescent="0.3">
      <c r="A13" s="2" t="s">
        <v>37</v>
      </c>
      <c r="B13" s="2" t="s">
        <v>38</v>
      </c>
      <c r="C13" s="2" t="s">
        <v>11</v>
      </c>
      <c r="D13" s="2" t="s">
        <v>39</v>
      </c>
      <c r="E13" s="3">
        <v>1572.82</v>
      </c>
      <c r="F13" s="3">
        <v>6</v>
      </c>
      <c r="G13" s="6">
        <v>0.05</v>
      </c>
      <c r="H13" s="4">
        <v>45402</v>
      </c>
      <c r="I13" s="3">
        <v>672.38</v>
      </c>
      <c r="L13" s="2" t="s">
        <v>38</v>
      </c>
      <c r="M13" s="3">
        <v>1572.82</v>
      </c>
      <c r="O13" s="2">
        <f t="shared" si="0"/>
        <v>1494.1789999999999</v>
      </c>
      <c r="Q13" s="2">
        <f t="shared" si="1"/>
        <v>1.1331868549185553</v>
      </c>
      <c r="S13" s="10">
        <f t="shared" ca="1" si="2"/>
        <v>46044.478013310189</v>
      </c>
      <c r="U13" s="2" t="str">
        <v>David Brown</v>
      </c>
      <c r="X13" s="21" t="s">
        <v>126</v>
      </c>
      <c r="Y13" s="21"/>
      <c r="Z13" s="21"/>
      <c r="AA13" s="21"/>
      <c r="AB13" s="21"/>
      <c r="AC13" s="21"/>
      <c r="AD13" s="21"/>
    </row>
    <row r="14" spans="1:30" x14ac:dyDescent="0.3">
      <c r="A14" s="2" t="s">
        <v>37</v>
      </c>
      <c r="B14" s="2" t="s">
        <v>36</v>
      </c>
      <c r="C14" s="2" t="s">
        <v>34</v>
      </c>
      <c r="D14" s="2" t="s">
        <v>12</v>
      </c>
      <c r="E14" s="3">
        <v>1343.13</v>
      </c>
      <c r="F14" s="3">
        <v>14</v>
      </c>
      <c r="G14" s="6">
        <v>0.15</v>
      </c>
      <c r="H14" s="4">
        <v>45404</v>
      </c>
      <c r="I14" s="3">
        <v>456.66</v>
      </c>
      <c r="L14" s="2" t="s">
        <v>36</v>
      </c>
      <c r="M14" s="3">
        <v>1343.13</v>
      </c>
      <c r="O14" s="2">
        <f t="shared" si="0"/>
        <v>1141.6605</v>
      </c>
      <c r="Q14" s="2">
        <f t="shared" si="1"/>
        <v>-0.14603705446268475</v>
      </c>
      <c r="S14" s="10">
        <f t="shared" ca="1" si="2"/>
        <v>46044.478013310189</v>
      </c>
      <c r="U14" s="2" t="str">
        <v>David Davis</v>
      </c>
      <c r="X14" s="21"/>
      <c r="Y14" s="21"/>
      <c r="Z14" s="21"/>
      <c r="AA14" s="21"/>
      <c r="AB14" s="21"/>
      <c r="AC14" s="21"/>
      <c r="AD14" s="21"/>
    </row>
    <row r="15" spans="1:30" x14ac:dyDescent="0.3">
      <c r="A15" s="2" t="s">
        <v>25</v>
      </c>
      <c r="B15" s="2" t="s">
        <v>26</v>
      </c>
      <c r="C15" s="2" t="s">
        <v>34</v>
      </c>
      <c r="D15" s="2" t="s">
        <v>12</v>
      </c>
      <c r="E15" s="3">
        <v>1191.58</v>
      </c>
      <c r="F15" s="3">
        <v>14</v>
      </c>
      <c r="G15" s="6">
        <v>0.05</v>
      </c>
      <c r="H15" s="4">
        <v>45406</v>
      </c>
      <c r="I15" s="3">
        <v>452.8</v>
      </c>
      <c r="L15" s="2" t="s">
        <v>26</v>
      </c>
      <c r="M15" s="3">
        <v>1191.58</v>
      </c>
      <c r="O15" s="2">
        <f t="shared" si="0"/>
        <v>1132.001</v>
      </c>
      <c r="Q15" s="2">
        <f t="shared" si="1"/>
        <v>-0.11283345618071235</v>
      </c>
      <c r="S15" s="10">
        <f t="shared" ca="1" si="2"/>
        <v>46044.478013310189</v>
      </c>
      <c r="U15" s="2" t="str">
        <v>Linda Taylor</v>
      </c>
      <c r="X15" s="22" t="s">
        <v>127</v>
      </c>
      <c r="Y15" s="22"/>
      <c r="Z15" s="22"/>
      <c r="AA15" s="22"/>
      <c r="AB15" s="22"/>
      <c r="AC15" s="22"/>
      <c r="AD15" s="22"/>
    </row>
    <row r="16" spans="1:30" x14ac:dyDescent="0.3">
      <c r="A16" s="2" t="s">
        <v>40</v>
      </c>
      <c r="B16" s="2" t="s">
        <v>14</v>
      </c>
      <c r="C16" s="2" t="s">
        <v>11</v>
      </c>
      <c r="D16" s="2" t="s">
        <v>27</v>
      </c>
      <c r="E16" s="3">
        <v>822.28</v>
      </c>
      <c r="F16" s="3">
        <v>7</v>
      </c>
      <c r="G16" s="6">
        <v>0.05</v>
      </c>
      <c r="H16" s="4">
        <v>45406</v>
      </c>
      <c r="I16" s="3">
        <v>273.41000000000003</v>
      </c>
      <c r="L16" s="2" t="s">
        <v>14</v>
      </c>
      <c r="M16" s="3">
        <v>822.28</v>
      </c>
      <c r="O16" s="2">
        <f t="shared" si="0"/>
        <v>781.16599999999994</v>
      </c>
      <c r="Q16" s="2">
        <f t="shared" si="1"/>
        <v>-0.30992463787576158</v>
      </c>
      <c r="S16" s="10">
        <f t="shared" ca="1" si="2"/>
        <v>46044.478013310189</v>
      </c>
      <c r="U16" s="2" t="str">
        <v>Lisa Davis</v>
      </c>
    </row>
    <row r="17" spans="1:30" x14ac:dyDescent="0.3">
      <c r="A17" s="2" t="s">
        <v>41</v>
      </c>
      <c r="B17" s="2" t="s">
        <v>42</v>
      </c>
      <c r="C17" s="2" t="s">
        <v>24</v>
      </c>
      <c r="D17" s="2" t="s">
        <v>27</v>
      </c>
      <c r="E17" s="3">
        <v>521.66999999999996</v>
      </c>
      <c r="F17" s="3">
        <v>15</v>
      </c>
      <c r="G17" s="6">
        <v>0.15</v>
      </c>
      <c r="H17" s="4">
        <v>45409</v>
      </c>
      <c r="I17" s="3">
        <v>155.19999999999999</v>
      </c>
      <c r="L17" s="2" t="s">
        <v>42</v>
      </c>
      <c r="M17" s="3">
        <v>521.66999999999996</v>
      </c>
      <c r="O17" s="2">
        <f t="shared" si="0"/>
        <v>443.41949999999997</v>
      </c>
      <c r="Q17" s="2">
        <f t="shared" si="1"/>
        <v>-0.36558106727635359</v>
      </c>
      <c r="S17" s="10">
        <f t="shared" ca="1" si="2"/>
        <v>46044.478013310189</v>
      </c>
      <c r="U17" s="2" t="str">
        <v>David Smith</v>
      </c>
    </row>
    <row r="18" spans="1:30" x14ac:dyDescent="0.3">
      <c r="A18" s="2" t="s">
        <v>19</v>
      </c>
      <c r="B18" s="2" t="s">
        <v>43</v>
      </c>
      <c r="C18" s="2" t="s">
        <v>20</v>
      </c>
      <c r="D18" s="2" t="s">
        <v>21</v>
      </c>
      <c r="E18" s="3">
        <v>1502.93</v>
      </c>
      <c r="F18" s="3">
        <v>14</v>
      </c>
      <c r="G18" s="6">
        <v>0.2</v>
      </c>
      <c r="H18" s="4">
        <v>45410</v>
      </c>
      <c r="I18" s="3">
        <v>300.58999999999997</v>
      </c>
      <c r="L18" s="2" t="s">
        <v>43</v>
      </c>
      <c r="M18" s="3">
        <v>1502.93</v>
      </c>
      <c r="O18" s="2">
        <f t="shared" si="0"/>
        <v>1202.3440000000001</v>
      </c>
      <c r="Q18" s="2">
        <f t="shared" si="1"/>
        <v>1.8809975655107638</v>
      </c>
      <c r="S18" s="10">
        <f t="shared" ca="1" si="2"/>
        <v>46044.478013310189</v>
      </c>
      <c r="U18" s="2" t="str">
        <v>James Wilson</v>
      </c>
    </row>
    <row r="19" spans="1:30" x14ac:dyDescent="0.3">
      <c r="A19" s="2" t="s">
        <v>44</v>
      </c>
      <c r="B19" s="2" t="s">
        <v>14</v>
      </c>
      <c r="C19" s="2" t="s">
        <v>20</v>
      </c>
      <c r="D19" s="2" t="s">
        <v>12</v>
      </c>
      <c r="E19" s="3">
        <v>877.58</v>
      </c>
      <c r="F19" s="3">
        <v>10</v>
      </c>
      <c r="G19" s="6">
        <v>0.15</v>
      </c>
      <c r="H19" s="4">
        <v>45411</v>
      </c>
      <c r="I19" s="3">
        <v>298.38</v>
      </c>
      <c r="L19" s="2" t="s">
        <v>14</v>
      </c>
      <c r="M19" s="3">
        <v>877.58</v>
      </c>
      <c r="O19" s="2">
        <f t="shared" si="0"/>
        <v>745.94299999999998</v>
      </c>
      <c r="Q19" s="2">
        <f t="shared" si="1"/>
        <v>-0.41608724291883187</v>
      </c>
      <c r="S19" s="10">
        <f t="shared" ca="1" si="2"/>
        <v>46044.478013310189</v>
      </c>
      <c r="U19" s="2" t="str">
        <v>Emma Wilson</v>
      </c>
    </row>
    <row r="20" spans="1:30" x14ac:dyDescent="0.3">
      <c r="A20" s="2" t="s">
        <v>28</v>
      </c>
      <c r="B20" s="2" t="s">
        <v>45</v>
      </c>
      <c r="C20" s="2" t="s">
        <v>11</v>
      </c>
      <c r="D20" s="2" t="s">
        <v>12</v>
      </c>
      <c r="E20" s="3">
        <v>636.70000000000005</v>
      </c>
      <c r="F20" s="3">
        <v>4</v>
      </c>
      <c r="G20" s="6">
        <v>0.2</v>
      </c>
      <c r="H20" s="4">
        <v>45411</v>
      </c>
      <c r="I20" s="3">
        <v>203.74</v>
      </c>
      <c r="L20" s="2" t="s">
        <v>45</v>
      </c>
      <c r="M20" s="3">
        <v>636.70000000000005</v>
      </c>
      <c r="O20" s="2">
        <f t="shared" si="0"/>
        <v>509.36000000000007</v>
      </c>
      <c r="Q20" s="2">
        <f t="shared" si="1"/>
        <v>-0.27448209849814259</v>
      </c>
      <c r="S20" s="10">
        <f t="shared" ca="1" si="2"/>
        <v>46044.478013310189</v>
      </c>
      <c r="U20" s="2" t="str">
        <v>David Davis</v>
      </c>
    </row>
    <row r="21" spans="1:30" x14ac:dyDescent="0.3">
      <c r="A21" s="2" t="s">
        <v>46</v>
      </c>
      <c r="B21" s="2" t="s">
        <v>47</v>
      </c>
      <c r="C21" s="2" t="s">
        <v>11</v>
      </c>
      <c r="D21" s="2" t="s">
        <v>12</v>
      </c>
      <c r="E21" s="3">
        <v>1506.14</v>
      </c>
      <c r="F21" s="3">
        <v>13</v>
      </c>
      <c r="G21" s="6">
        <v>0.2</v>
      </c>
      <c r="H21" s="4">
        <v>45412</v>
      </c>
      <c r="I21" s="3">
        <v>481.96</v>
      </c>
      <c r="L21" s="2" t="s">
        <v>47</v>
      </c>
      <c r="M21" s="3">
        <v>1506.14</v>
      </c>
      <c r="O21" s="2">
        <f t="shared" si="0"/>
        <v>1204.912</v>
      </c>
      <c r="Q21" s="2">
        <f t="shared" si="1"/>
        <v>1.3655410711481075</v>
      </c>
      <c r="S21" s="10">
        <f t="shared" ca="1" si="2"/>
        <v>46044.478013310189</v>
      </c>
      <c r="U21" s="2" t="str">
        <v>Mary Davis</v>
      </c>
    </row>
    <row r="22" spans="1:30" x14ac:dyDescent="0.3">
      <c r="A22" s="2" t="s">
        <v>30</v>
      </c>
      <c r="B22" s="2" t="s">
        <v>31</v>
      </c>
      <c r="C22" s="2" t="s">
        <v>34</v>
      </c>
      <c r="D22" s="2" t="s">
        <v>21</v>
      </c>
      <c r="E22" s="3">
        <v>645.02</v>
      </c>
      <c r="F22" s="3">
        <v>4</v>
      </c>
      <c r="G22" s="6">
        <v>0</v>
      </c>
      <c r="H22" s="4">
        <v>45414</v>
      </c>
      <c r="I22" s="3">
        <v>161.26</v>
      </c>
      <c r="L22" s="2" t="s">
        <v>31</v>
      </c>
      <c r="M22" s="3">
        <v>645.02</v>
      </c>
      <c r="O22" s="2">
        <f t="shared" si="0"/>
        <v>645.02</v>
      </c>
      <c r="Q22" s="2">
        <f t="shared" si="1"/>
        <v>-0.57173967891431077</v>
      </c>
      <c r="S22" s="10">
        <f t="shared" ca="1" si="2"/>
        <v>46044.478013310189</v>
      </c>
      <c r="U22" s="2" t="str">
        <v>Michael Anderson</v>
      </c>
    </row>
    <row r="23" spans="1:30" x14ac:dyDescent="0.3">
      <c r="A23" s="2" t="s">
        <v>25</v>
      </c>
      <c r="B23" s="2" t="s">
        <v>48</v>
      </c>
      <c r="C23" s="2" t="s">
        <v>20</v>
      </c>
      <c r="D23" s="2" t="s">
        <v>15</v>
      </c>
      <c r="E23" s="3">
        <v>953.3</v>
      </c>
      <c r="F23" s="3">
        <v>11</v>
      </c>
      <c r="G23" s="6">
        <v>0</v>
      </c>
      <c r="H23" s="4">
        <v>45415</v>
      </c>
      <c r="I23" s="3">
        <v>476.65</v>
      </c>
      <c r="L23" s="2" t="s">
        <v>48</v>
      </c>
      <c r="M23" s="3">
        <v>953.3</v>
      </c>
      <c r="O23" s="2">
        <f t="shared" si="0"/>
        <v>953.3</v>
      </c>
      <c r="Q23" s="2">
        <f t="shared" si="1"/>
        <v>0.47793866856841644</v>
      </c>
      <c r="S23" s="10">
        <f t="shared" ca="1" si="2"/>
        <v>46044.478013310189</v>
      </c>
      <c r="U23" s="2" t="str">
        <v>Linda Jackson</v>
      </c>
    </row>
    <row r="24" spans="1:30" x14ac:dyDescent="0.3">
      <c r="A24" s="2" t="s">
        <v>49</v>
      </c>
      <c r="B24" s="2" t="s">
        <v>14</v>
      </c>
      <c r="C24" s="2" t="s">
        <v>24</v>
      </c>
      <c r="D24" s="2" t="s">
        <v>21</v>
      </c>
      <c r="E24" s="3">
        <v>388.56</v>
      </c>
      <c r="F24" s="3">
        <v>14</v>
      </c>
      <c r="G24" s="6">
        <v>0.15</v>
      </c>
      <c r="H24" s="4">
        <v>45416</v>
      </c>
      <c r="I24" s="3">
        <v>82.57</v>
      </c>
      <c r="L24" s="2" t="s">
        <v>14</v>
      </c>
      <c r="M24" s="3">
        <v>388.56</v>
      </c>
      <c r="O24" s="2">
        <f t="shared" si="0"/>
        <v>330.27600000000001</v>
      </c>
      <c r="Q24" s="2">
        <f t="shared" si="1"/>
        <v>-0.5924053288576524</v>
      </c>
      <c r="S24" s="10">
        <f t="shared" ca="1" si="2"/>
        <v>46044.478013310189</v>
      </c>
      <c r="U24" s="2" t="str">
        <v>James Wilson</v>
      </c>
    </row>
    <row r="25" spans="1:30" x14ac:dyDescent="0.3">
      <c r="A25" s="2" t="s">
        <v>9</v>
      </c>
      <c r="B25" s="2" t="s">
        <v>31</v>
      </c>
      <c r="C25" s="2" t="s">
        <v>11</v>
      </c>
      <c r="D25" s="2" t="s">
        <v>12</v>
      </c>
      <c r="E25" s="3">
        <v>743.17</v>
      </c>
      <c r="F25" s="3">
        <v>9</v>
      </c>
      <c r="G25" s="6">
        <v>0</v>
      </c>
      <c r="H25" s="4">
        <v>45416</v>
      </c>
      <c r="I25" s="3">
        <v>297.27</v>
      </c>
      <c r="L25" s="2" t="s">
        <v>31</v>
      </c>
      <c r="M25" s="3">
        <v>743.17</v>
      </c>
      <c r="O25" s="2">
        <f t="shared" si="0"/>
        <v>743.17</v>
      </c>
      <c r="Q25" s="2">
        <f t="shared" si="1"/>
        <v>0.9126261066501955</v>
      </c>
      <c r="S25" s="10">
        <f t="shared" ca="1" si="2"/>
        <v>46044.478013310189</v>
      </c>
      <c r="U25" s="2" t="str">
        <v>Sarah Davis</v>
      </c>
    </row>
    <row r="26" spans="1:30" x14ac:dyDescent="0.3">
      <c r="A26" s="2" t="s">
        <v>40</v>
      </c>
      <c r="B26" s="2" t="s">
        <v>31</v>
      </c>
      <c r="C26" s="2" t="s">
        <v>34</v>
      </c>
      <c r="D26" s="2" t="s">
        <v>21</v>
      </c>
      <c r="E26" s="3">
        <v>706.37</v>
      </c>
      <c r="F26" s="3">
        <v>6</v>
      </c>
      <c r="G26" s="6">
        <v>0</v>
      </c>
      <c r="H26" s="4">
        <v>45416</v>
      </c>
      <c r="I26" s="3">
        <v>176.59</v>
      </c>
      <c r="L26" s="2" t="s">
        <v>31</v>
      </c>
      <c r="M26" s="3">
        <v>706.37</v>
      </c>
      <c r="O26" s="2">
        <f t="shared" si="0"/>
        <v>706.37</v>
      </c>
      <c r="Q26" s="2">
        <f t="shared" si="1"/>
        <v>-4.95176070078178E-2</v>
      </c>
      <c r="S26" s="10">
        <f t="shared" ca="1" si="2"/>
        <v>46044.478013310189</v>
      </c>
      <c r="U26" s="2" t="str">
        <v>Emma Davis</v>
      </c>
    </row>
    <row r="27" spans="1:30" x14ac:dyDescent="0.3">
      <c r="A27" s="2" t="s">
        <v>13</v>
      </c>
      <c r="B27" s="2" t="s">
        <v>31</v>
      </c>
      <c r="C27" s="2" t="s">
        <v>34</v>
      </c>
      <c r="D27" s="2" t="s">
        <v>39</v>
      </c>
      <c r="E27" s="3">
        <v>925.31</v>
      </c>
      <c r="F27" s="3">
        <v>8</v>
      </c>
      <c r="G27" s="6">
        <v>0.1</v>
      </c>
      <c r="H27" s="4">
        <v>45418</v>
      </c>
      <c r="I27" s="3">
        <v>374.75</v>
      </c>
      <c r="L27" s="2" t="s">
        <v>31</v>
      </c>
      <c r="M27" s="3">
        <v>925.31</v>
      </c>
      <c r="O27" s="2">
        <f t="shared" si="0"/>
        <v>832.779</v>
      </c>
      <c r="Q27" s="2">
        <f t="shared" si="1"/>
        <v>0.3099508756034372</v>
      </c>
      <c r="S27" s="10">
        <f t="shared" ca="1" si="2"/>
        <v>46044.478013310189</v>
      </c>
      <c r="U27" s="2" t="str">
        <v>Mary Wilson</v>
      </c>
    </row>
    <row r="28" spans="1:30" x14ac:dyDescent="0.3">
      <c r="A28" s="2" t="s">
        <v>35</v>
      </c>
      <c r="B28" s="2" t="s">
        <v>50</v>
      </c>
      <c r="C28" s="2" t="s">
        <v>20</v>
      </c>
      <c r="D28" s="2" t="s">
        <v>21</v>
      </c>
      <c r="E28" s="3">
        <v>1173.1199999999999</v>
      </c>
      <c r="F28" s="3">
        <v>18</v>
      </c>
      <c r="G28" s="6">
        <v>0</v>
      </c>
      <c r="H28" s="4">
        <v>45418</v>
      </c>
      <c r="I28" s="3">
        <v>293.27999999999997</v>
      </c>
      <c r="L28" s="2" t="s">
        <v>50</v>
      </c>
      <c r="M28" s="3">
        <v>1173.1199999999999</v>
      </c>
      <c r="O28" s="2">
        <f t="shared" si="0"/>
        <v>1173.1199999999999</v>
      </c>
      <c r="Q28" s="2">
        <f t="shared" si="1"/>
        <v>0.26781294917379034</v>
      </c>
      <c r="S28" s="10">
        <f t="shared" ca="1" si="2"/>
        <v>46044.478013310189</v>
      </c>
      <c r="U28" s="2" t="str">
        <v>Mary Davis</v>
      </c>
    </row>
    <row r="29" spans="1:30" x14ac:dyDescent="0.3">
      <c r="A29" s="2" t="s">
        <v>22</v>
      </c>
      <c r="B29" s="2" t="s">
        <v>51</v>
      </c>
      <c r="C29" s="2" t="s">
        <v>24</v>
      </c>
      <c r="D29" s="2" t="s">
        <v>27</v>
      </c>
      <c r="E29" s="3">
        <v>675.54</v>
      </c>
      <c r="F29" s="3">
        <v>17</v>
      </c>
      <c r="G29" s="6">
        <v>0</v>
      </c>
      <c r="H29" s="4">
        <v>45420</v>
      </c>
      <c r="I29" s="3">
        <v>236.44</v>
      </c>
      <c r="L29" s="2" t="s">
        <v>51</v>
      </c>
      <c r="M29" s="3">
        <v>675.54</v>
      </c>
      <c r="O29" s="2">
        <f t="shared" si="0"/>
        <v>675.54</v>
      </c>
      <c r="Q29" s="2">
        <f t="shared" si="1"/>
        <v>-0.42415098199672663</v>
      </c>
      <c r="S29" s="10">
        <f t="shared" ca="1" si="2"/>
        <v>46044.478013310189</v>
      </c>
      <c r="U29" s="2" t="str">
        <v>James Davis</v>
      </c>
    </row>
    <row r="30" spans="1:30" x14ac:dyDescent="0.3">
      <c r="A30" s="2" t="s">
        <v>25</v>
      </c>
      <c r="B30" s="2" t="s">
        <v>14</v>
      </c>
      <c r="C30" s="2" t="s">
        <v>34</v>
      </c>
      <c r="D30" s="2" t="s">
        <v>12</v>
      </c>
      <c r="E30" s="3">
        <v>939.09</v>
      </c>
      <c r="F30" s="3">
        <v>2</v>
      </c>
      <c r="G30" s="6">
        <v>0.05</v>
      </c>
      <c r="H30" s="4">
        <v>45422</v>
      </c>
      <c r="I30" s="3">
        <v>356.85</v>
      </c>
      <c r="L30" s="2" t="s">
        <v>14</v>
      </c>
      <c r="M30" s="3">
        <v>939.09</v>
      </c>
      <c r="O30" s="2">
        <f t="shared" si="0"/>
        <v>892.13549999999998</v>
      </c>
      <c r="Q30" s="2">
        <f t="shared" si="1"/>
        <v>0.3901323385735857</v>
      </c>
      <c r="S30" s="10">
        <f t="shared" ca="1" si="2"/>
        <v>46044.478013310189</v>
      </c>
      <c r="U30" s="2" t="str">
        <v>Emma Wilson</v>
      </c>
      <c r="X30" s="19" t="s">
        <v>128</v>
      </c>
      <c r="Y30" s="19"/>
      <c r="Z30" s="19"/>
      <c r="AA30" s="19"/>
      <c r="AB30" s="19"/>
      <c r="AC30" s="19"/>
      <c r="AD30" s="19"/>
    </row>
    <row r="31" spans="1:30" x14ac:dyDescent="0.3">
      <c r="A31" s="2" t="s">
        <v>52</v>
      </c>
      <c r="B31" s="2" t="s">
        <v>53</v>
      </c>
      <c r="C31" s="2" t="s">
        <v>18</v>
      </c>
      <c r="D31" s="2" t="s">
        <v>39</v>
      </c>
      <c r="E31" s="3">
        <v>983.34</v>
      </c>
      <c r="F31" s="3">
        <v>19</v>
      </c>
      <c r="G31" s="6">
        <v>0.1</v>
      </c>
      <c r="H31" s="4">
        <v>45426</v>
      </c>
      <c r="I31" s="3">
        <v>398.25</v>
      </c>
      <c r="L31" s="2" t="s">
        <v>53</v>
      </c>
      <c r="M31" s="3">
        <v>983.34</v>
      </c>
      <c r="O31" s="2">
        <f t="shared" si="0"/>
        <v>885.00600000000009</v>
      </c>
      <c r="Q31" s="2">
        <f t="shared" si="1"/>
        <v>4.7120084336964504E-2</v>
      </c>
      <c r="S31" s="10">
        <f t="shared" ca="1" si="2"/>
        <v>46044.478013310189</v>
      </c>
      <c r="U31" s="2" t="str">
        <v>James Wilson</v>
      </c>
    </row>
    <row r="32" spans="1:30" x14ac:dyDescent="0.3">
      <c r="A32" s="2" t="s">
        <v>52</v>
      </c>
      <c r="B32" s="2" t="s">
        <v>23</v>
      </c>
      <c r="C32" s="2" t="s">
        <v>20</v>
      </c>
      <c r="D32" s="2" t="s">
        <v>21</v>
      </c>
      <c r="E32" s="3">
        <v>801.21</v>
      </c>
      <c r="F32" s="3">
        <v>3</v>
      </c>
      <c r="G32" s="6">
        <v>0.2</v>
      </c>
      <c r="H32" s="4">
        <v>45426</v>
      </c>
      <c r="I32" s="3">
        <v>160.24</v>
      </c>
      <c r="L32" s="2" t="s">
        <v>23</v>
      </c>
      <c r="M32" s="3">
        <v>801.21</v>
      </c>
      <c r="O32" s="2">
        <f t="shared" si="0"/>
        <v>640.96800000000007</v>
      </c>
      <c r="Q32" s="2">
        <f t="shared" si="1"/>
        <v>-0.18521569345292574</v>
      </c>
      <c r="S32" s="10">
        <f t="shared" ca="1" si="2"/>
        <v>46044.478013310189</v>
      </c>
      <c r="U32" s="2" t="str">
        <v>David Brown</v>
      </c>
    </row>
    <row r="33" spans="1:30" x14ac:dyDescent="0.3">
      <c r="A33" s="2" t="s">
        <v>54</v>
      </c>
      <c r="B33" s="2" t="s">
        <v>55</v>
      </c>
      <c r="C33" s="2" t="s">
        <v>24</v>
      </c>
      <c r="D33" s="2" t="s">
        <v>21</v>
      </c>
      <c r="E33" s="3">
        <v>1450.71</v>
      </c>
      <c r="F33" s="3">
        <v>5</v>
      </c>
      <c r="G33" s="6">
        <v>0.1</v>
      </c>
      <c r="H33" s="4">
        <v>45427</v>
      </c>
      <c r="I33" s="3">
        <v>326.41000000000003</v>
      </c>
      <c r="L33" s="2" t="s">
        <v>55</v>
      </c>
      <c r="M33" s="3">
        <v>1450.71</v>
      </c>
      <c r="O33" s="2">
        <f t="shared" si="0"/>
        <v>1305.6390000000001</v>
      </c>
      <c r="Q33" s="2">
        <f t="shared" si="1"/>
        <v>0.81064889354850789</v>
      </c>
      <c r="S33" s="10">
        <f t="shared" ca="1" si="2"/>
        <v>46044.478013310189</v>
      </c>
      <c r="U33" s="2" t="str">
        <v>Mary Jackson</v>
      </c>
    </row>
    <row r="34" spans="1:30" x14ac:dyDescent="0.3">
      <c r="A34" s="2" t="s">
        <v>49</v>
      </c>
      <c r="B34" s="2" t="s">
        <v>56</v>
      </c>
      <c r="C34" s="2" t="s">
        <v>34</v>
      </c>
      <c r="D34" s="2" t="s">
        <v>12</v>
      </c>
      <c r="E34" s="3">
        <v>1023.21</v>
      </c>
      <c r="F34" s="3">
        <v>18</v>
      </c>
      <c r="G34" s="6">
        <v>0.05</v>
      </c>
      <c r="H34" s="4">
        <v>45428</v>
      </c>
      <c r="I34" s="3">
        <v>388.82</v>
      </c>
      <c r="L34" s="2" t="s">
        <v>56</v>
      </c>
      <c r="M34" s="3">
        <v>1023.21</v>
      </c>
      <c r="O34" s="2">
        <f t="shared" si="0"/>
        <v>972.04949999999997</v>
      </c>
      <c r="Q34" s="2">
        <f t="shared" si="1"/>
        <v>-0.29468329300825113</v>
      </c>
      <c r="S34" s="10">
        <f t="shared" ca="1" si="2"/>
        <v>46044.478013310189</v>
      </c>
      <c r="U34" s="2" t="str">
        <v>Emma Davis</v>
      </c>
    </row>
    <row r="35" spans="1:30" x14ac:dyDescent="0.3">
      <c r="A35" s="2" t="s">
        <v>28</v>
      </c>
      <c r="B35" s="2" t="s">
        <v>47</v>
      </c>
      <c r="C35" s="2" t="s">
        <v>11</v>
      </c>
      <c r="D35" s="2" t="s">
        <v>27</v>
      </c>
      <c r="E35" s="3">
        <v>853.72</v>
      </c>
      <c r="F35" s="3">
        <v>5</v>
      </c>
      <c r="G35" s="6">
        <v>0.15</v>
      </c>
      <c r="H35" s="4">
        <v>45428</v>
      </c>
      <c r="I35" s="3">
        <v>253.98</v>
      </c>
      <c r="L35" s="2" t="s">
        <v>47</v>
      </c>
      <c r="M35" s="3">
        <v>853.72</v>
      </c>
      <c r="O35" s="2">
        <f t="shared" si="0"/>
        <v>725.66200000000003</v>
      </c>
      <c r="Q35" s="2">
        <f t="shared" si="1"/>
        <v>-0.16564537094047166</v>
      </c>
      <c r="S35" s="10">
        <f t="shared" ca="1" si="2"/>
        <v>46044.478013310189</v>
      </c>
      <c r="U35" s="2" t="str">
        <v>Linda Wilson</v>
      </c>
    </row>
    <row r="36" spans="1:30" x14ac:dyDescent="0.3">
      <c r="A36" s="2" t="s">
        <v>57</v>
      </c>
      <c r="B36" s="2" t="s">
        <v>43</v>
      </c>
      <c r="C36" s="2" t="s">
        <v>20</v>
      </c>
      <c r="D36" s="2" t="s">
        <v>21</v>
      </c>
      <c r="E36" s="3">
        <v>967.89</v>
      </c>
      <c r="F36" s="3">
        <v>10</v>
      </c>
      <c r="G36" s="6">
        <v>0.1</v>
      </c>
      <c r="H36" s="4">
        <v>45429</v>
      </c>
      <c r="I36" s="3">
        <v>217.78</v>
      </c>
      <c r="L36" s="2" t="s">
        <v>43</v>
      </c>
      <c r="M36" s="3">
        <v>967.89</v>
      </c>
      <c r="O36" s="2">
        <f t="shared" si="0"/>
        <v>871.101</v>
      </c>
      <c r="Q36" s="2">
        <f t="shared" si="1"/>
        <v>0.13373237126926857</v>
      </c>
      <c r="S36" s="10">
        <f t="shared" ca="1" si="2"/>
        <v>46044.478013310189</v>
      </c>
      <c r="U36" s="2" t="str">
        <v>Linda Taylor</v>
      </c>
    </row>
    <row r="37" spans="1:30" x14ac:dyDescent="0.3">
      <c r="A37" s="2" t="s">
        <v>58</v>
      </c>
      <c r="B37" s="2" t="s">
        <v>53</v>
      </c>
      <c r="C37" s="2" t="s">
        <v>24</v>
      </c>
      <c r="D37" s="2" t="s">
        <v>39</v>
      </c>
      <c r="E37" s="3">
        <v>1200.9000000000001</v>
      </c>
      <c r="F37" s="3">
        <v>14</v>
      </c>
      <c r="G37" s="6">
        <v>0.05</v>
      </c>
      <c r="H37" s="4">
        <v>45429</v>
      </c>
      <c r="I37" s="3">
        <v>513.38</v>
      </c>
      <c r="L37" s="2" t="s">
        <v>53</v>
      </c>
      <c r="M37" s="3">
        <v>1200.9000000000001</v>
      </c>
      <c r="O37" s="2">
        <f t="shared" si="0"/>
        <v>1140.855</v>
      </c>
      <c r="Q37" s="2">
        <f t="shared" si="1"/>
        <v>0.24074016675448667</v>
      </c>
      <c r="S37" s="10">
        <f t="shared" ca="1" si="2"/>
        <v>46044.478013310189</v>
      </c>
      <c r="U37" s="2" t="str">
        <v>Linda Wilson</v>
      </c>
    </row>
    <row r="38" spans="1:30" x14ac:dyDescent="0.3">
      <c r="A38" s="2" t="s">
        <v>13</v>
      </c>
      <c r="B38" s="2" t="s">
        <v>26</v>
      </c>
      <c r="C38" s="2" t="s">
        <v>11</v>
      </c>
      <c r="D38" s="2" t="s">
        <v>12</v>
      </c>
      <c r="E38" s="3">
        <v>472.38</v>
      </c>
      <c r="F38" s="3">
        <v>12</v>
      </c>
      <c r="G38" s="6">
        <v>0.2</v>
      </c>
      <c r="H38" s="4">
        <v>45429</v>
      </c>
      <c r="I38" s="3">
        <v>151.16</v>
      </c>
      <c r="L38" s="2" t="s">
        <v>26</v>
      </c>
      <c r="M38" s="3">
        <v>472.38</v>
      </c>
      <c r="O38" s="2">
        <f t="shared" si="0"/>
        <v>377.904</v>
      </c>
      <c r="Q38" s="2">
        <f t="shared" si="1"/>
        <v>-0.60664501623782163</v>
      </c>
      <c r="S38" s="10">
        <f t="shared" ca="1" si="2"/>
        <v>46044.478013310189</v>
      </c>
      <c r="U38" s="2" t="str">
        <v>Mary Davis</v>
      </c>
    </row>
    <row r="39" spans="1:30" x14ac:dyDescent="0.3">
      <c r="A39" s="2" t="s">
        <v>9</v>
      </c>
      <c r="B39" s="2" t="s">
        <v>55</v>
      </c>
      <c r="C39" s="2" t="s">
        <v>18</v>
      </c>
      <c r="D39" s="2" t="s">
        <v>39</v>
      </c>
      <c r="E39" s="3">
        <v>840.92</v>
      </c>
      <c r="F39" s="3">
        <v>9</v>
      </c>
      <c r="G39" s="6">
        <v>0.05</v>
      </c>
      <c r="H39" s="4">
        <v>45429</v>
      </c>
      <c r="I39" s="3">
        <v>359.49</v>
      </c>
      <c r="L39" s="2" t="s">
        <v>55</v>
      </c>
      <c r="M39" s="3">
        <v>840.92</v>
      </c>
      <c r="O39" s="2">
        <f t="shared" si="0"/>
        <v>798.87399999999991</v>
      </c>
      <c r="Q39" s="2">
        <f t="shared" si="1"/>
        <v>0.78017697616325832</v>
      </c>
      <c r="S39" s="10">
        <f t="shared" ca="1" si="2"/>
        <v>46044.478013310189</v>
      </c>
      <c r="U39" s="2" t="str">
        <v>Linda Jackson</v>
      </c>
    </row>
    <row r="40" spans="1:30" x14ac:dyDescent="0.3">
      <c r="A40" s="2" t="s">
        <v>52</v>
      </c>
      <c r="B40" s="2" t="s">
        <v>48</v>
      </c>
      <c r="C40" s="2" t="s">
        <v>34</v>
      </c>
      <c r="D40" s="2" t="s">
        <v>27</v>
      </c>
      <c r="E40" s="3">
        <v>1410.06</v>
      </c>
      <c r="F40" s="3">
        <v>11</v>
      </c>
      <c r="G40" s="6">
        <v>0.05</v>
      </c>
      <c r="H40" s="4">
        <v>45434</v>
      </c>
      <c r="I40" s="3">
        <v>468.84</v>
      </c>
      <c r="L40" s="2" t="s">
        <v>48</v>
      </c>
      <c r="M40" s="3">
        <v>1410.06</v>
      </c>
      <c r="O40" s="2">
        <f t="shared" si="0"/>
        <v>1339.5569999999998</v>
      </c>
      <c r="Q40" s="2">
        <f t="shared" si="1"/>
        <v>0.67680635494458452</v>
      </c>
      <c r="S40" s="10">
        <f t="shared" ca="1" si="2"/>
        <v>46044.478013310189</v>
      </c>
      <c r="U40" s="2" t="str">
        <v>Lisa Davis</v>
      </c>
    </row>
    <row r="41" spans="1:30" x14ac:dyDescent="0.3">
      <c r="A41" s="2" t="s">
        <v>44</v>
      </c>
      <c r="B41" s="2" t="s">
        <v>59</v>
      </c>
      <c r="C41" s="2" t="s">
        <v>34</v>
      </c>
      <c r="D41" s="2" t="s">
        <v>27</v>
      </c>
      <c r="E41" s="3">
        <v>773.09</v>
      </c>
      <c r="F41" s="3">
        <v>13</v>
      </c>
      <c r="G41" s="6">
        <v>0.15</v>
      </c>
      <c r="H41" s="4">
        <v>45434</v>
      </c>
      <c r="I41" s="3">
        <v>229.99</v>
      </c>
      <c r="L41" s="2" t="s">
        <v>59</v>
      </c>
      <c r="M41" s="3">
        <v>773.09</v>
      </c>
      <c r="O41" s="2">
        <f t="shared" si="0"/>
        <v>657.12649999999996</v>
      </c>
      <c r="Q41" s="2">
        <f t="shared" si="1"/>
        <v>-0.4517325503879267</v>
      </c>
      <c r="S41" s="10">
        <f t="shared" ca="1" si="2"/>
        <v>46044.478013310189</v>
      </c>
      <c r="U41" s="2" t="str">
        <v>David Thomas</v>
      </c>
    </row>
    <row r="42" spans="1:30" x14ac:dyDescent="0.3">
      <c r="A42" s="2" t="s">
        <v>60</v>
      </c>
      <c r="B42" s="2" t="s">
        <v>61</v>
      </c>
      <c r="C42" s="2" t="s">
        <v>18</v>
      </c>
      <c r="D42" s="2" t="s">
        <v>12</v>
      </c>
      <c r="E42" s="3">
        <v>580.42999999999995</v>
      </c>
      <c r="F42" s="3">
        <v>19</v>
      </c>
      <c r="G42" s="6">
        <v>0.15</v>
      </c>
      <c r="H42" s="4">
        <v>45435</v>
      </c>
      <c r="I42" s="3">
        <v>197.35</v>
      </c>
      <c r="L42" s="2" t="s">
        <v>61</v>
      </c>
      <c r="M42" s="3">
        <v>580.42999999999995</v>
      </c>
      <c r="O42" s="2">
        <f t="shared" si="0"/>
        <v>493.36549999999994</v>
      </c>
      <c r="Q42" s="2">
        <f t="shared" si="1"/>
        <v>-0.24920772484445547</v>
      </c>
      <c r="S42" s="10">
        <f t="shared" ca="1" si="2"/>
        <v>46044.478013310189</v>
      </c>
      <c r="U42" s="2" t="str">
        <v>James Davis</v>
      </c>
    </row>
    <row r="43" spans="1:30" x14ac:dyDescent="0.3">
      <c r="A43" s="2" t="s">
        <v>19</v>
      </c>
      <c r="B43" s="2" t="s">
        <v>42</v>
      </c>
      <c r="C43" s="2" t="s">
        <v>20</v>
      </c>
      <c r="D43" s="2" t="s">
        <v>12</v>
      </c>
      <c r="E43" s="3">
        <v>1151.21</v>
      </c>
      <c r="F43" s="3">
        <v>15</v>
      </c>
      <c r="G43" s="6">
        <v>0.1</v>
      </c>
      <c r="H43" s="4">
        <v>45445</v>
      </c>
      <c r="I43" s="3">
        <v>414.44</v>
      </c>
      <c r="L43" s="2" t="s">
        <v>42</v>
      </c>
      <c r="M43" s="3">
        <v>1151.21</v>
      </c>
      <c r="O43" s="2">
        <f t="shared" si="0"/>
        <v>1036.0890000000002</v>
      </c>
      <c r="Q43" s="2">
        <f t="shared" si="1"/>
        <v>0.98337439484520117</v>
      </c>
      <c r="S43" s="10">
        <f t="shared" ca="1" si="2"/>
        <v>46044.478013310189</v>
      </c>
      <c r="U43" s="2" t="str">
        <v>Sarah Davis</v>
      </c>
    </row>
    <row r="44" spans="1:30" x14ac:dyDescent="0.3">
      <c r="A44" s="2" t="s">
        <v>52</v>
      </c>
      <c r="B44" s="2" t="s">
        <v>23</v>
      </c>
      <c r="C44" s="2" t="s">
        <v>34</v>
      </c>
      <c r="D44" s="2" t="s">
        <v>39</v>
      </c>
      <c r="E44" s="3">
        <v>1025.98</v>
      </c>
      <c r="F44" s="3">
        <v>5</v>
      </c>
      <c r="G44" s="6">
        <v>0.2</v>
      </c>
      <c r="H44" s="4">
        <v>45447</v>
      </c>
      <c r="I44" s="3">
        <v>369.35</v>
      </c>
      <c r="L44" s="2" t="s">
        <v>23</v>
      </c>
      <c r="M44" s="3">
        <v>1025.98</v>
      </c>
      <c r="O44" s="2">
        <f t="shared" si="0"/>
        <v>820.78400000000011</v>
      </c>
      <c r="Q44" s="2">
        <f t="shared" si="1"/>
        <v>-0.10878119543784368</v>
      </c>
      <c r="S44" s="10">
        <f t="shared" ca="1" si="2"/>
        <v>46044.478013310189</v>
      </c>
      <c r="U44" s="2" t="str">
        <v>James Wilson</v>
      </c>
    </row>
    <row r="45" spans="1:30" x14ac:dyDescent="0.3">
      <c r="A45" s="2" t="s">
        <v>40</v>
      </c>
      <c r="B45" s="2" t="s">
        <v>56</v>
      </c>
      <c r="C45" s="2" t="s">
        <v>18</v>
      </c>
      <c r="D45" s="2" t="s">
        <v>39</v>
      </c>
      <c r="E45" s="3">
        <v>556.41999999999996</v>
      </c>
      <c r="F45" s="3">
        <v>11</v>
      </c>
      <c r="G45" s="6">
        <v>0.15</v>
      </c>
      <c r="H45" s="4">
        <v>45447</v>
      </c>
      <c r="I45" s="3">
        <v>212.83</v>
      </c>
      <c r="L45" s="2" t="s">
        <v>56</v>
      </c>
      <c r="M45" s="3">
        <v>556.41999999999996</v>
      </c>
      <c r="O45" s="2">
        <f t="shared" si="0"/>
        <v>472.95699999999994</v>
      </c>
      <c r="Q45" s="2">
        <f t="shared" si="1"/>
        <v>-0.45766974015088019</v>
      </c>
      <c r="S45" s="10">
        <f t="shared" ca="1" si="2"/>
        <v>46044.478013310189</v>
      </c>
      <c r="U45" s="2" t="str">
        <v>Linda Brown</v>
      </c>
    </row>
    <row r="46" spans="1:30" x14ac:dyDescent="0.3">
      <c r="A46" s="2" t="s">
        <v>57</v>
      </c>
      <c r="B46" s="2" t="s">
        <v>23</v>
      </c>
      <c r="C46" s="2" t="s">
        <v>34</v>
      </c>
      <c r="D46" s="2" t="s">
        <v>12</v>
      </c>
      <c r="E46" s="3">
        <v>840.85</v>
      </c>
      <c r="F46" s="3">
        <v>19</v>
      </c>
      <c r="G46" s="6">
        <v>0.1</v>
      </c>
      <c r="H46" s="4">
        <v>45448</v>
      </c>
      <c r="I46" s="3">
        <v>302.70999999999998</v>
      </c>
      <c r="L46" s="2" t="s">
        <v>23</v>
      </c>
      <c r="M46" s="3">
        <v>840.85</v>
      </c>
      <c r="O46" s="2">
        <f t="shared" si="0"/>
        <v>756.76499999999999</v>
      </c>
      <c r="Q46" s="2">
        <f t="shared" si="1"/>
        <v>0.51117860608892574</v>
      </c>
      <c r="S46" s="10">
        <f t="shared" ca="1" si="2"/>
        <v>46044.478013310189</v>
      </c>
      <c r="U46" s="2" t="str">
        <v>Emma Taylor</v>
      </c>
    </row>
    <row r="47" spans="1:30" x14ac:dyDescent="0.3">
      <c r="A47" s="2" t="s">
        <v>30</v>
      </c>
      <c r="B47" s="2" t="s">
        <v>61</v>
      </c>
      <c r="C47" s="2" t="s">
        <v>24</v>
      </c>
      <c r="D47" s="2" t="s">
        <v>27</v>
      </c>
      <c r="E47" s="3">
        <v>1227.25</v>
      </c>
      <c r="F47" s="3">
        <v>12</v>
      </c>
      <c r="G47" s="6">
        <v>0.15</v>
      </c>
      <c r="H47" s="4">
        <v>45448</v>
      </c>
      <c r="I47" s="3">
        <v>365.11</v>
      </c>
      <c r="L47" s="2" t="s">
        <v>61</v>
      </c>
      <c r="M47" s="3">
        <v>1227.25</v>
      </c>
      <c r="O47" s="2">
        <f t="shared" si="0"/>
        <v>1043.1624999999999</v>
      </c>
      <c r="Q47" s="2">
        <f t="shared" si="1"/>
        <v>0.45953499435095435</v>
      </c>
      <c r="S47" s="10">
        <f t="shared" ca="1" si="2"/>
        <v>46044.478013310189</v>
      </c>
      <c r="U47" s="2" t="str">
        <v>James Wilson</v>
      </c>
    </row>
    <row r="48" spans="1:30" x14ac:dyDescent="0.3">
      <c r="A48" s="2" t="s">
        <v>16</v>
      </c>
      <c r="B48" s="2" t="s">
        <v>62</v>
      </c>
      <c r="C48" s="2" t="s">
        <v>34</v>
      </c>
      <c r="D48" s="2" t="s">
        <v>21</v>
      </c>
      <c r="E48" s="3">
        <v>856.7</v>
      </c>
      <c r="F48" s="3">
        <v>2</v>
      </c>
      <c r="G48" s="6">
        <v>0</v>
      </c>
      <c r="H48" s="4">
        <v>45449</v>
      </c>
      <c r="I48" s="3">
        <v>214.18</v>
      </c>
      <c r="L48" s="2" t="s">
        <v>62</v>
      </c>
      <c r="M48" s="3">
        <v>856.7</v>
      </c>
      <c r="O48" s="2">
        <f t="shared" si="0"/>
        <v>856.7</v>
      </c>
      <c r="Q48" s="2">
        <f t="shared" si="1"/>
        <v>-0.3019352210226115</v>
      </c>
      <c r="S48" s="10">
        <f t="shared" ca="1" si="2"/>
        <v>46044.478013310189</v>
      </c>
      <c r="U48" s="2" t="str">
        <v>Emma Wilson</v>
      </c>
      <c r="X48" s="19" t="s">
        <v>129</v>
      </c>
      <c r="Y48" s="19"/>
      <c r="Z48" s="19"/>
      <c r="AA48" s="19"/>
      <c r="AB48" s="19"/>
      <c r="AC48" s="19"/>
      <c r="AD48" s="19"/>
    </row>
    <row r="49" spans="1:21" x14ac:dyDescent="0.3">
      <c r="A49" s="2" t="s">
        <v>54</v>
      </c>
      <c r="B49" s="2" t="s">
        <v>56</v>
      </c>
      <c r="C49" s="2" t="s">
        <v>34</v>
      </c>
      <c r="D49" s="2" t="s">
        <v>39</v>
      </c>
      <c r="E49" s="3">
        <v>1225.42</v>
      </c>
      <c r="F49" s="3">
        <v>8</v>
      </c>
      <c r="G49" s="6">
        <v>0.15</v>
      </c>
      <c r="H49" s="4">
        <v>45449</v>
      </c>
      <c r="I49" s="3">
        <v>468.72</v>
      </c>
      <c r="L49" s="2" t="s">
        <v>56</v>
      </c>
      <c r="M49" s="3">
        <v>1225.42</v>
      </c>
      <c r="O49" s="2">
        <f t="shared" si="0"/>
        <v>1041.607</v>
      </c>
      <c r="Q49" s="2">
        <f t="shared" si="1"/>
        <v>0.4303957044472978</v>
      </c>
      <c r="S49" s="10">
        <f t="shared" ca="1" si="2"/>
        <v>46044.478013310189</v>
      </c>
      <c r="U49" s="2" t="str">
        <v>James Wilson</v>
      </c>
    </row>
    <row r="50" spans="1:21" x14ac:dyDescent="0.3">
      <c r="A50" s="2" t="s">
        <v>63</v>
      </c>
      <c r="B50" s="2" t="s">
        <v>31</v>
      </c>
      <c r="C50" s="2" t="s">
        <v>24</v>
      </c>
      <c r="D50" s="2" t="s">
        <v>39</v>
      </c>
      <c r="E50" s="3">
        <v>1001.57</v>
      </c>
      <c r="F50" s="3">
        <v>12</v>
      </c>
      <c r="G50" s="6">
        <v>0</v>
      </c>
      <c r="H50" s="4">
        <v>45450</v>
      </c>
      <c r="I50" s="3">
        <v>450.71</v>
      </c>
      <c r="L50" s="2" t="s">
        <v>31</v>
      </c>
      <c r="M50" s="3">
        <v>1001.57</v>
      </c>
      <c r="O50" s="2">
        <f t="shared" si="0"/>
        <v>1001.57</v>
      </c>
      <c r="Q50" s="2">
        <f t="shared" si="1"/>
        <v>-0.18267206345579476</v>
      </c>
      <c r="S50" s="10">
        <f t="shared" ca="1" si="2"/>
        <v>46044.478013310189</v>
      </c>
      <c r="U50" s="2" t="str">
        <v>David Davis</v>
      </c>
    </row>
    <row r="51" spans="1:21" x14ac:dyDescent="0.3">
      <c r="A51" s="2" t="s">
        <v>57</v>
      </c>
      <c r="B51" s="2" t="s">
        <v>26</v>
      </c>
      <c r="C51" s="2" t="s">
        <v>18</v>
      </c>
      <c r="D51" s="2" t="s">
        <v>27</v>
      </c>
      <c r="E51" s="3">
        <v>1186.8499999999999</v>
      </c>
      <c r="F51" s="3">
        <v>19</v>
      </c>
      <c r="G51" s="6">
        <v>0.2</v>
      </c>
      <c r="H51" s="4">
        <v>45451</v>
      </c>
      <c r="I51" s="3">
        <v>332.32</v>
      </c>
      <c r="L51" s="2" t="s">
        <v>26</v>
      </c>
      <c r="M51" s="3">
        <v>1186.8499999999999</v>
      </c>
      <c r="O51" s="2">
        <f t="shared" si="0"/>
        <v>949.48</v>
      </c>
      <c r="Q51" s="2">
        <f t="shared" si="1"/>
        <v>0.18498956638078201</v>
      </c>
      <c r="S51" s="10">
        <f t="shared" ca="1" si="2"/>
        <v>46044.478013310189</v>
      </c>
      <c r="U51" s="2" t="str">
        <v>Mary Jackson</v>
      </c>
    </row>
    <row r="52" spans="1:21" x14ac:dyDescent="0.3">
      <c r="A52" s="2" t="s">
        <v>44</v>
      </c>
      <c r="B52" s="2" t="s">
        <v>51</v>
      </c>
      <c r="C52" s="2" t="s">
        <v>20</v>
      </c>
      <c r="D52" s="2" t="s">
        <v>21</v>
      </c>
      <c r="E52" s="3">
        <v>775.45</v>
      </c>
      <c r="F52" s="3">
        <v>6</v>
      </c>
      <c r="G52" s="6">
        <v>0.1</v>
      </c>
      <c r="H52" s="4">
        <v>45457</v>
      </c>
      <c r="I52" s="3">
        <v>174.48</v>
      </c>
      <c r="L52" s="2" t="s">
        <v>51</v>
      </c>
      <c r="M52" s="3">
        <v>775.45</v>
      </c>
      <c r="O52" s="2">
        <f t="shared" si="0"/>
        <v>697.90500000000009</v>
      </c>
      <c r="Q52" s="2">
        <f t="shared" si="1"/>
        <v>-0.34663184058642615</v>
      </c>
      <c r="S52" s="10">
        <f t="shared" ca="1" si="2"/>
        <v>46044.478013310189</v>
      </c>
      <c r="U52" s="2" t="str">
        <v>James Wilson</v>
      </c>
    </row>
    <row r="53" spans="1:21" x14ac:dyDescent="0.3">
      <c r="A53" s="2" t="s">
        <v>25</v>
      </c>
      <c r="B53" s="2" t="s">
        <v>33</v>
      </c>
      <c r="C53" s="2" t="s">
        <v>20</v>
      </c>
      <c r="D53" s="2" t="s">
        <v>21</v>
      </c>
      <c r="E53" s="3">
        <v>1021.47</v>
      </c>
      <c r="F53" s="3">
        <v>6</v>
      </c>
      <c r="G53" s="6">
        <v>0.05</v>
      </c>
      <c r="H53" s="4">
        <v>45461</v>
      </c>
      <c r="I53" s="3">
        <v>242.6</v>
      </c>
      <c r="L53" s="2" t="s">
        <v>33</v>
      </c>
      <c r="M53" s="3">
        <v>1021.47</v>
      </c>
      <c r="O53" s="2">
        <f t="shared" si="0"/>
        <v>970.39649999999995</v>
      </c>
      <c r="Q53" s="2">
        <f t="shared" si="1"/>
        <v>0.3172609452575923</v>
      </c>
      <c r="S53" s="10">
        <f t="shared" ca="1" si="2"/>
        <v>46044.478013310189</v>
      </c>
      <c r="U53" s="2" t="str">
        <v>James Wilson</v>
      </c>
    </row>
    <row r="54" spans="1:21" x14ac:dyDescent="0.3">
      <c r="A54" s="2" t="s">
        <v>58</v>
      </c>
      <c r="B54" s="2" t="s">
        <v>23</v>
      </c>
      <c r="C54" s="2" t="s">
        <v>20</v>
      </c>
      <c r="D54" s="2" t="s">
        <v>15</v>
      </c>
      <c r="E54" s="3">
        <v>1226.6199999999999</v>
      </c>
      <c r="F54" s="3">
        <v>7</v>
      </c>
      <c r="G54" s="6">
        <v>0.1</v>
      </c>
      <c r="H54" s="4">
        <v>45463</v>
      </c>
      <c r="I54" s="3">
        <v>551.98</v>
      </c>
      <c r="L54" s="2" t="s">
        <v>23</v>
      </c>
      <c r="M54" s="3">
        <v>1226.6199999999999</v>
      </c>
      <c r="O54" s="2">
        <f t="shared" si="0"/>
        <v>1103.9579999999999</v>
      </c>
      <c r="Q54" s="2">
        <f t="shared" si="1"/>
        <v>0.20083800796890741</v>
      </c>
      <c r="S54" s="10">
        <f t="shared" ca="1" si="2"/>
        <v>46044.478013310189</v>
      </c>
      <c r="U54" s="2" t="str">
        <v>Linda Jackson</v>
      </c>
    </row>
    <row r="55" spans="1:21" x14ac:dyDescent="0.3">
      <c r="A55" s="2" t="s">
        <v>22</v>
      </c>
      <c r="B55" s="2" t="s">
        <v>64</v>
      </c>
      <c r="C55" s="2" t="s">
        <v>20</v>
      </c>
      <c r="D55" s="2" t="s">
        <v>27</v>
      </c>
      <c r="E55" s="3">
        <v>1086.93</v>
      </c>
      <c r="F55" s="3">
        <v>2</v>
      </c>
      <c r="G55" s="6">
        <v>0</v>
      </c>
      <c r="H55" s="4">
        <v>45464</v>
      </c>
      <c r="I55" s="3">
        <v>380.43</v>
      </c>
      <c r="L55" s="2" t="s">
        <v>64</v>
      </c>
      <c r="M55" s="3">
        <v>1086.93</v>
      </c>
      <c r="O55" s="2">
        <f t="shared" si="0"/>
        <v>1086.93</v>
      </c>
      <c r="Q55" s="2">
        <f t="shared" si="1"/>
        <v>-0.11388204986059239</v>
      </c>
      <c r="S55" s="10">
        <f t="shared" ca="1" si="2"/>
        <v>46044.478013310189</v>
      </c>
      <c r="U55" s="2" t="str">
        <v>David Anderson</v>
      </c>
    </row>
    <row r="56" spans="1:21" x14ac:dyDescent="0.3">
      <c r="A56" s="2" t="s">
        <v>65</v>
      </c>
      <c r="B56" s="2" t="s">
        <v>48</v>
      </c>
      <c r="C56" s="2" t="s">
        <v>11</v>
      </c>
      <c r="D56" s="2" t="s">
        <v>12</v>
      </c>
      <c r="E56" s="3">
        <v>942.9</v>
      </c>
      <c r="F56" s="3">
        <v>18</v>
      </c>
      <c r="G56" s="6">
        <v>0.1</v>
      </c>
      <c r="H56" s="4">
        <v>45466</v>
      </c>
      <c r="I56" s="3">
        <v>339.44</v>
      </c>
      <c r="L56" s="2" t="s">
        <v>48</v>
      </c>
      <c r="M56" s="3">
        <v>942.9</v>
      </c>
      <c r="O56" s="2">
        <f t="shared" si="0"/>
        <v>848.61</v>
      </c>
      <c r="Q56" s="2">
        <f t="shared" si="1"/>
        <v>-0.13251083326433172</v>
      </c>
      <c r="S56" s="10">
        <f t="shared" ca="1" si="2"/>
        <v>46044.478013310189</v>
      </c>
      <c r="U56" s="2" t="str">
        <v>Linda Wilson</v>
      </c>
    </row>
    <row r="57" spans="1:21" x14ac:dyDescent="0.3">
      <c r="A57" s="2" t="s">
        <v>32</v>
      </c>
      <c r="B57" s="2" t="s">
        <v>38</v>
      </c>
      <c r="C57" s="2" t="s">
        <v>24</v>
      </c>
      <c r="D57" s="2" t="s">
        <v>21</v>
      </c>
      <c r="E57" s="3">
        <v>818.8</v>
      </c>
      <c r="F57" s="3">
        <v>15</v>
      </c>
      <c r="G57" s="6">
        <v>0.15</v>
      </c>
      <c r="H57" s="4">
        <v>45468</v>
      </c>
      <c r="I57" s="3">
        <v>173.99</v>
      </c>
      <c r="L57" s="2" t="s">
        <v>38</v>
      </c>
      <c r="M57" s="3">
        <v>818.8</v>
      </c>
      <c r="O57" s="2">
        <f t="shared" si="0"/>
        <v>695.9799999999999</v>
      </c>
      <c r="Q57" s="2">
        <f t="shared" si="1"/>
        <v>-0.13161522961077529</v>
      </c>
      <c r="S57" s="10">
        <f t="shared" ca="1" si="2"/>
        <v>46044.478013310189</v>
      </c>
      <c r="U57" s="2" t="str">
        <v>James Wilson</v>
      </c>
    </row>
    <row r="58" spans="1:21" x14ac:dyDescent="0.3">
      <c r="A58" s="2" t="s">
        <v>19</v>
      </c>
      <c r="B58" s="2" t="s">
        <v>14</v>
      </c>
      <c r="C58" s="2" t="s">
        <v>20</v>
      </c>
      <c r="D58" s="2" t="s">
        <v>27</v>
      </c>
      <c r="E58" s="3">
        <v>919.04</v>
      </c>
      <c r="F58" s="3">
        <v>10</v>
      </c>
      <c r="G58" s="6">
        <v>0.2</v>
      </c>
      <c r="H58" s="4">
        <v>45468</v>
      </c>
      <c r="I58" s="3">
        <v>257.33</v>
      </c>
      <c r="L58" s="2" t="s">
        <v>14</v>
      </c>
      <c r="M58" s="3">
        <v>919.04</v>
      </c>
      <c r="O58" s="2">
        <f t="shared" si="0"/>
        <v>735.23199999999997</v>
      </c>
      <c r="Q58" s="2">
        <f t="shared" si="1"/>
        <v>0.12242305813385444</v>
      </c>
      <c r="S58" s="10">
        <f t="shared" ca="1" si="2"/>
        <v>46044.478013310189</v>
      </c>
      <c r="U58" s="2" t="str">
        <v>Lisa Davis</v>
      </c>
    </row>
    <row r="59" spans="1:21" x14ac:dyDescent="0.3">
      <c r="A59" s="2" t="s">
        <v>22</v>
      </c>
      <c r="B59" s="2" t="s">
        <v>66</v>
      </c>
      <c r="C59" s="2" t="s">
        <v>34</v>
      </c>
      <c r="D59" s="2" t="s">
        <v>12</v>
      </c>
      <c r="E59" s="3">
        <v>973.26</v>
      </c>
      <c r="F59" s="3">
        <v>11</v>
      </c>
      <c r="G59" s="6">
        <v>0</v>
      </c>
      <c r="H59" s="4">
        <v>45470</v>
      </c>
      <c r="I59" s="3">
        <v>389.3</v>
      </c>
      <c r="L59" s="2" t="s">
        <v>66</v>
      </c>
      <c r="M59" s="3">
        <v>973.26</v>
      </c>
      <c r="O59" s="2">
        <f t="shared" si="0"/>
        <v>973.26</v>
      </c>
      <c r="Q59" s="2">
        <f t="shared" si="1"/>
        <v>5.8996344011142093E-2</v>
      </c>
      <c r="S59" s="10">
        <f t="shared" ca="1" si="2"/>
        <v>46044.478013310189</v>
      </c>
      <c r="U59" s="2" t="str">
        <v>Lisa Thomas</v>
      </c>
    </row>
    <row r="60" spans="1:21" x14ac:dyDescent="0.3">
      <c r="A60" s="2" t="s">
        <v>41</v>
      </c>
      <c r="B60" s="2" t="s">
        <v>64</v>
      </c>
      <c r="C60" s="2" t="s">
        <v>24</v>
      </c>
      <c r="D60" s="2" t="s">
        <v>21</v>
      </c>
      <c r="E60" s="3">
        <v>741.61</v>
      </c>
      <c r="F60" s="3">
        <v>1</v>
      </c>
      <c r="G60" s="6">
        <v>0.2</v>
      </c>
      <c r="H60" s="4">
        <v>45471</v>
      </c>
      <c r="I60" s="3">
        <v>148.32</v>
      </c>
      <c r="L60" s="2" t="s">
        <v>64</v>
      </c>
      <c r="M60" s="3">
        <v>741.61</v>
      </c>
      <c r="O60" s="2">
        <f t="shared" si="0"/>
        <v>593.28800000000001</v>
      </c>
      <c r="Q60" s="2">
        <f t="shared" si="1"/>
        <v>-0.23801450794237919</v>
      </c>
      <c r="S60" s="10">
        <f t="shared" ca="1" si="2"/>
        <v>46044.478013310189</v>
      </c>
      <c r="U60" s="2" t="str">
        <v>Linda Brown</v>
      </c>
    </row>
    <row r="61" spans="1:21" x14ac:dyDescent="0.3">
      <c r="A61" s="2" t="s">
        <v>67</v>
      </c>
      <c r="B61" s="2" t="s">
        <v>38</v>
      </c>
      <c r="C61" s="2" t="s">
        <v>24</v>
      </c>
      <c r="D61" s="2" t="s">
        <v>12</v>
      </c>
      <c r="E61" s="3">
        <v>1248.82</v>
      </c>
      <c r="F61" s="3">
        <v>2</v>
      </c>
      <c r="G61" s="6">
        <v>0.1</v>
      </c>
      <c r="H61" s="4">
        <v>45473</v>
      </c>
      <c r="I61" s="3">
        <v>449.58</v>
      </c>
      <c r="L61" s="2" t="s">
        <v>38</v>
      </c>
      <c r="M61" s="3">
        <v>1248.82</v>
      </c>
      <c r="O61" s="2">
        <f t="shared" si="0"/>
        <v>1123.9379999999999</v>
      </c>
      <c r="Q61" s="2">
        <f t="shared" si="1"/>
        <v>0.68393090708054083</v>
      </c>
      <c r="S61" s="10">
        <f t="shared" ca="1" si="2"/>
        <v>46044.478013310189</v>
      </c>
      <c r="U61" s="2" t="str">
        <v>Lisa Thomas</v>
      </c>
    </row>
    <row r="62" spans="1:21" x14ac:dyDescent="0.3">
      <c r="A62" s="2" t="s">
        <v>13</v>
      </c>
      <c r="B62" s="2" t="s">
        <v>59</v>
      </c>
      <c r="C62" s="2" t="s">
        <v>11</v>
      </c>
      <c r="D62" s="2" t="s">
        <v>15</v>
      </c>
      <c r="E62" s="3">
        <v>1360.36</v>
      </c>
      <c r="F62" s="3">
        <v>17</v>
      </c>
      <c r="G62" s="6">
        <v>0</v>
      </c>
      <c r="H62" s="4">
        <v>45473</v>
      </c>
      <c r="I62" s="3">
        <v>680.18</v>
      </c>
      <c r="L62" s="2" t="s">
        <v>59</v>
      </c>
      <c r="M62" s="3">
        <v>1360.36</v>
      </c>
      <c r="O62" s="2">
        <f t="shared" si="0"/>
        <v>1360.36</v>
      </c>
      <c r="Q62" s="2">
        <f t="shared" si="1"/>
        <v>8.9316314600983299E-2</v>
      </c>
      <c r="S62" s="10">
        <f t="shared" ca="1" si="2"/>
        <v>46044.478013310189</v>
      </c>
      <c r="U62" s="2" t="str">
        <v>James Taylor</v>
      </c>
    </row>
    <row r="63" spans="1:21" x14ac:dyDescent="0.3">
      <c r="A63" s="2" t="s">
        <v>57</v>
      </c>
      <c r="B63" s="2" t="s">
        <v>31</v>
      </c>
      <c r="C63" s="2" t="s">
        <v>18</v>
      </c>
      <c r="D63" s="2" t="s">
        <v>12</v>
      </c>
      <c r="E63" s="3">
        <v>1383.3</v>
      </c>
      <c r="F63" s="3">
        <v>8</v>
      </c>
      <c r="G63" s="6">
        <v>0.1</v>
      </c>
      <c r="H63" s="4">
        <v>45478</v>
      </c>
      <c r="I63" s="3">
        <v>497.99</v>
      </c>
      <c r="L63" s="2" t="s">
        <v>31</v>
      </c>
      <c r="M63" s="3">
        <v>1383.3</v>
      </c>
      <c r="O63" s="2">
        <f t="shared" si="0"/>
        <v>1244.97</v>
      </c>
      <c r="Q63" s="2">
        <f t="shared" si="1"/>
        <v>1.6863183275015479E-2</v>
      </c>
      <c r="S63" s="10">
        <f t="shared" ca="1" si="2"/>
        <v>46044.478013310189</v>
      </c>
      <c r="U63" s="2" t="str">
        <v>Linda Brown</v>
      </c>
    </row>
    <row r="64" spans="1:21" x14ac:dyDescent="0.3">
      <c r="A64" s="2" t="s">
        <v>35</v>
      </c>
      <c r="B64" s="2" t="s">
        <v>55</v>
      </c>
      <c r="C64" s="2" t="s">
        <v>34</v>
      </c>
      <c r="D64" s="2" t="s">
        <v>39</v>
      </c>
      <c r="E64" s="3">
        <v>488.99</v>
      </c>
      <c r="F64" s="3">
        <v>9</v>
      </c>
      <c r="G64" s="6">
        <v>0</v>
      </c>
      <c r="H64" s="4">
        <v>45479</v>
      </c>
      <c r="I64" s="3">
        <v>220.05</v>
      </c>
      <c r="L64" s="2" t="s">
        <v>55</v>
      </c>
      <c r="M64" s="3">
        <v>488.99</v>
      </c>
      <c r="O64" s="2">
        <f t="shared" si="0"/>
        <v>488.99</v>
      </c>
      <c r="Q64" s="2">
        <f t="shared" si="1"/>
        <v>-0.64650473505385675</v>
      </c>
      <c r="S64" s="10">
        <f t="shared" ca="1" si="2"/>
        <v>46044.478013310189</v>
      </c>
      <c r="U64" s="2" t="str">
        <v>Emma Wilson</v>
      </c>
    </row>
    <row r="65" spans="1:21" x14ac:dyDescent="0.3">
      <c r="A65" s="2" t="s">
        <v>30</v>
      </c>
      <c r="B65" s="2" t="s">
        <v>31</v>
      </c>
      <c r="C65" s="2" t="s">
        <v>18</v>
      </c>
      <c r="D65" s="2" t="s">
        <v>27</v>
      </c>
      <c r="E65" s="3">
        <v>933.71</v>
      </c>
      <c r="F65" s="3">
        <v>17</v>
      </c>
      <c r="G65" s="6">
        <v>0.1</v>
      </c>
      <c r="H65" s="4">
        <v>45481</v>
      </c>
      <c r="I65" s="3">
        <v>294.12</v>
      </c>
      <c r="L65" s="2" t="s">
        <v>31</v>
      </c>
      <c r="M65" s="3">
        <v>933.71</v>
      </c>
      <c r="O65" s="2">
        <f t="shared" si="0"/>
        <v>840.33900000000006</v>
      </c>
      <c r="Q65" s="2">
        <f t="shared" si="1"/>
        <v>0.90946645125667192</v>
      </c>
      <c r="S65" s="10">
        <f t="shared" ca="1" si="2"/>
        <v>46044.478013310189</v>
      </c>
      <c r="U65" s="2" t="str">
        <v>Emma Wilson</v>
      </c>
    </row>
    <row r="66" spans="1:21" x14ac:dyDescent="0.3">
      <c r="A66" s="2" t="s">
        <v>67</v>
      </c>
      <c r="B66" s="2" t="s">
        <v>10</v>
      </c>
      <c r="C66" s="2" t="s">
        <v>11</v>
      </c>
      <c r="D66" s="2" t="s">
        <v>21</v>
      </c>
      <c r="E66" s="3">
        <v>1005.53</v>
      </c>
      <c r="F66" s="3">
        <v>17</v>
      </c>
      <c r="G66" s="6">
        <v>0.2</v>
      </c>
      <c r="H66" s="4">
        <v>45481</v>
      </c>
      <c r="I66" s="3">
        <v>201.11</v>
      </c>
      <c r="L66" s="2" t="s">
        <v>10</v>
      </c>
      <c r="M66" s="3">
        <v>1005.53</v>
      </c>
      <c r="O66" s="2">
        <f t="shared" si="0"/>
        <v>804.42399999999998</v>
      </c>
      <c r="Q66" s="2">
        <f t="shared" si="1"/>
        <v>7.6918957706354152E-2</v>
      </c>
      <c r="S66" s="10">
        <f t="shared" ca="1" si="2"/>
        <v>46044.478013310189</v>
      </c>
      <c r="U66" s="2" t="str">
        <v>Emma Davis</v>
      </c>
    </row>
    <row r="67" spans="1:21" x14ac:dyDescent="0.3">
      <c r="A67" s="2" t="s">
        <v>41</v>
      </c>
      <c r="B67" s="2" t="s">
        <v>61</v>
      </c>
      <c r="C67" s="2" t="s">
        <v>20</v>
      </c>
      <c r="D67" s="2" t="s">
        <v>21</v>
      </c>
      <c r="E67" s="3">
        <v>1100.0999999999999</v>
      </c>
      <c r="F67" s="3">
        <v>5</v>
      </c>
      <c r="G67" s="6">
        <v>0.05</v>
      </c>
      <c r="H67" s="4">
        <v>45482</v>
      </c>
      <c r="I67" s="3">
        <v>261.27</v>
      </c>
      <c r="L67" s="2" t="s">
        <v>61</v>
      </c>
      <c r="M67" s="3">
        <v>1100.0999999999999</v>
      </c>
      <c r="O67" s="2">
        <f t="shared" si="0"/>
        <v>1045.0949999999998</v>
      </c>
      <c r="Q67" s="2">
        <f t="shared" si="1"/>
        <v>9.4049904030710119E-2</v>
      </c>
      <c r="S67" s="10">
        <f t="shared" ca="1" si="2"/>
        <v>46044.478013310189</v>
      </c>
      <c r="U67" s="2" t="str">
        <v>Lisa Thomas</v>
      </c>
    </row>
    <row r="68" spans="1:21" x14ac:dyDescent="0.3">
      <c r="A68" s="2" t="s">
        <v>67</v>
      </c>
      <c r="B68" s="2" t="s">
        <v>23</v>
      </c>
      <c r="C68" s="2" t="s">
        <v>24</v>
      </c>
      <c r="D68" s="2" t="s">
        <v>27</v>
      </c>
      <c r="E68" s="3">
        <v>1034.7</v>
      </c>
      <c r="F68" s="3">
        <v>15</v>
      </c>
      <c r="G68" s="6">
        <v>0.15</v>
      </c>
      <c r="H68" s="4">
        <v>45487</v>
      </c>
      <c r="I68" s="3">
        <v>307.82</v>
      </c>
      <c r="L68" s="2" t="s">
        <v>23</v>
      </c>
      <c r="M68" s="3">
        <v>1034.7</v>
      </c>
      <c r="O68" s="2">
        <f t="shared" ref="O68:O131" si="3">E68*(1-G68)</f>
        <v>879.495</v>
      </c>
      <c r="Q68" s="2">
        <f t="shared" ref="Q68:Q131" si="4">(E68-E67)/E67</f>
        <v>-5.9449140987182868E-2</v>
      </c>
      <c r="S68" s="10">
        <f t="shared" ref="S68:S131" ca="1" si="5">NOW()</f>
        <v>46044.478013310189</v>
      </c>
      <c r="U68" s="2" t="str">
        <v>Michael Anderson</v>
      </c>
    </row>
    <row r="69" spans="1:21" x14ac:dyDescent="0.3">
      <c r="A69" s="2" t="s">
        <v>65</v>
      </c>
      <c r="B69" s="2" t="s">
        <v>31</v>
      </c>
      <c r="C69" s="2" t="s">
        <v>20</v>
      </c>
      <c r="D69" s="2" t="s">
        <v>12</v>
      </c>
      <c r="E69" s="3">
        <v>876.44</v>
      </c>
      <c r="F69" s="3">
        <v>12</v>
      </c>
      <c r="G69" s="6">
        <v>0.05</v>
      </c>
      <c r="H69" s="4">
        <v>45488</v>
      </c>
      <c r="I69" s="3">
        <v>333.05</v>
      </c>
      <c r="L69" s="2" t="s">
        <v>31</v>
      </c>
      <c r="M69" s="3">
        <v>876.44</v>
      </c>
      <c r="O69" s="2">
        <f t="shared" si="3"/>
        <v>832.61800000000005</v>
      </c>
      <c r="Q69" s="2">
        <f t="shared" si="4"/>
        <v>-0.15295254663187396</v>
      </c>
      <c r="S69" s="10">
        <f t="shared" ca="1" si="5"/>
        <v>46044.478013310189</v>
      </c>
      <c r="U69" s="2" t="str">
        <v>Linda Wilson</v>
      </c>
    </row>
    <row r="70" spans="1:21" x14ac:dyDescent="0.3">
      <c r="A70" s="2" t="s">
        <v>68</v>
      </c>
      <c r="B70" s="2" t="s">
        <v>55</v>
      </c>
      <c r="C70" s="2" t="s">
        <v>11</v>
      </c>
      <c r="D70" s="2" t="s">
        <v>27</v>
      </c>
      <c r="E70" s="3">
        <v>1371.34</v>
      </c>
      <c r="F70" s="3">
        <v>5</v>
      </c>
      <c r="G70" s="6">
        <v>0.05</v>
      </c>
      <c r="H70" s="4">
        <v>45488</v>
      </c>
      <c r="I70" s="3">
        <v>455.97</v>
      </c>
      <c r="L70" s="2" t="s">
        <v>55</v>
      </c>
      <c r="M70" s="3">
        <v>1371.34</v>
      </c>
      <c r="O70" s="2">
        <f t="shared" si="3"/>
        <v>1302.7729999999999</v>
      </c>
      <c r="Q70" s="2">
        <f t="shared" si="4"/>
        <v>0.56467071334033114</v>
      </c>
      <c r="S70" s="10">
        <f t="shared" ca="1" si="5"/>
        <v>46044.478013310189</v>
      </c>
      <c r="U70" s="2" t="str">
        <v>Emma Taylor</v>
      </c>
    </row>
    <row r="71" spans="1:21" x14ac:dyDescent="0.3">
      <c r="A71" s="2" t="s">
        <v>57</v>
      </c>
      <c r="B71" s="2" t="s">
        <v>47</v>
      </c>
      <c r="C71" s="2" t="s">
        <v>24</v>
      </c>
      <c r="D71" s="2" t="s">
        <v>21</v>
      </c>
      <c r="E71" s="3">
        <v>1020.26</v>
      </c>
      <c r="F71" s="3">
        <v>11</v>
      </c>
      <c r="G71" s="6">
        <v>0.05</v>
      </c>
      <c r="H71" s="4">
        <v>45494</v>
      </c>
      <c r="I71" s="3">
        <v>242.31</v>
      </c>
      <c r="L71" s="2" t="s">
        <v>47</v>
      </c>
      <c r="M71" s="3">
        <v>1020.26</v>
      </c>
      <c r="O71" s="2">
        <f t="shared" si="3"/>
        <v>969.24699999999996</v>
      </c>
      <c r="Q71" s="2">
        <f t="shared" si="4"/>
        <v>-0.25601236746539879</v>
      </c>
      <c r="S71" s="10">
        <f t="shared" ca="1" si="5"/>
        <v>46044.478013310189</v>
      </c>
      <c r="U71" s="2" t="str">
        <v>Sarah Anderson</v>
      </c>
    </row>
    <row r="72" spans="1:21" x14ac:dyDescent="0.3">
      <c r="A72" s="2" t="s">
        <v>44</v>
      </c>
      <c r="B72" s="2" t="s">
        <v>10</v>
      </c>
      <c r="C72" s="2" t="s">
        <v>34</v>
      </c>
      <c r="D72" s="2" t="s">
        <v>39</v>
      </c>
      <c r="E72" s="3">
        <v>804.81</v>
      </c>
      <c r="F72" s="3">
        <v>1</v>
      </c>
      <c r="G72" s="6">
        <v>0.05</v>
      </c>
      <c r="H72" s="4">
        <v>45502</v>
      </c>
      <c r="I72" s="3">
        <v>344.06</v>
      </c>
      <c r="L72" s="2" t="s">
        <v>10</v>
      </c>
      <c r="M72" s="3">
        <v>804.81</v>
      </c>
      <c r="O72" s="2">
        <f t="shared" si="3"/>
        <v>764.56949999999995</v>
      </c>
      <c r="Q72" s="2">
        <f t="shared" si="4"/>
        <v>-0.21117166212534064</v>
      </c>
      <c r="S72" s="10">
        <f t="shared" ca="1" si="5"/>
        <v>46044.478013310189</v>
      </c>
      <c r="U72" s="2" t="str">
        <v>Mary Davis</v>
      </c>
    </row>
    <row r="73" spans="1:21" x14ac:dyDescent="0.3">
      <c r="A73" s="2" t="s">
        <v>22</v>
      </c>
      <c r="B73" s="2" t="s">
        <v>55</v>
      </c>
      <c r="C73" s="2" t="s">
        <v>34</v>
      </c>
      <c r="D73" s="2" t="s">
        <v>21</v>
      </c>
      <c r="E73" s="3">
        <v>608.66</v>
      </c>
      <c r="F73" s="3">
        <v>1</v>
      </c>
      <c r="G73" s="6">
        <v>0.05</v>
      </c>
      <c r="H73" s="4">
        <v>45503</v>
      </c>
      <c r="I73" s="3">
        <v>144.56</v>
      </c>
      <c r="L73" s="2" t="s">
        <v>55</v>
      </c>
      <c r="M73" s="3">
        <v>608.66</v>
      </c>
      <c r="O73" s="2">
        <f t="shared" si="3"/>
        <v>578.22699999999998</v>
      </c>
      <c r="Q73" s="2">
        <f t="shared" si="4"/>
        <v>-0.24372212074899666</v>
      </c>
      <c r="S73" s="10">
        <f t="shared" ca="1" si="5"/>
        <v>46044.478013310189</v>
      </c>
      <c r="U73" s="2" t="str">
        <v>James Wilson</v>
      </c>
    </row>
    <row r="74" spans="1:21" x14ac:dyDescent="0.3">
      <c r="A74" s="2" t="s">
        <v>68</v>
      </c>
      <c r="B74" s="2" t="s">
        <v>69</v>
      </c>
      <c r="C74" s="2" t="s">
        <v>20</v>
      </c>
      <c r="D74" s="2" t="s">
        <v>39</v>
      </c>
      <c r="E74" s="3">
        <v>981.2</v>
      </c>
      <c r="F74" s="3">
        <v>19</v>
      </c>
      <c r="G74" s="6">
        <v>0</v>
      </c>
      <c r="H74" s="4">
        <v>45504</v>
      </c>
      <c r="I74" s="3">
        <v>441.54</v>
      </c>
      <c r="L74" s="2" t="s">
        <v>69</v>
      </c>
      <c r="M74" s="3">
        <v>981.2</v>
      </c>
      <c r="O74" s="2">
        <f t="shared" si="3"/>
        <v>981.2</v>
      </c>
      <c r="Q74" s="2">
        <f t="shared" si="4"/>
        <v>0.61206584957118937</v>
      </c>
      <c r="S74" s="10">
        <f t="shared" ca="1" si="5"/>
        <v>46044.478013310189</v>
      </c>
      <c r="U74" s="2" t="str">
        <v>Mary Wilson</v>
      </c>
    </row>
    <row r="75" spans="1:21" x14ac:dyDescent="0.3">
      <c r="A75" s="2" t="s">
        <v>70</v>
      </c>
      <c r="B75" s="2" t="s">
        <v>55</v>
      </c>
      <c r="C75" s="2" t="s">
        <v>18</v>
      </c>
      <c r="D75" s="2" t="s">
        <v>21</v>
      </c>
      <c r="E75" s="3">
        <v>539.77</v>
      </c>
      <c r="F75" s="3">
        <v>10</v>
      </c>
      <c r="G75" s="6">
        <v>0.15</v>
      </c>
      <c r="H75" s="4">
        <v>45509</v>
      </c>
      <c r="I75" s="3">
        <v>114.7</v>
      </c>
      <c r="L75" s="2" t="s">
        <v>55</v>
      </c>
      <c r="M75" s="3">
        <v>539.77</v>
      </c>
      <c r="O75" s="2">
        <f t="shared" si="3"/>
        <v>458.80449999999996</v>
      </c>
      <c r="Q75" s="2">
        <f t="shared" si="4"/>
        <v>-0.44988789237668164</v>
      </c>
      <c r="S75" s="10">
        <f t="shared" ca="1" si="5"/>
        <v>46044.478013310189</v>
      </c>
      <c r="U75" s="2" t="str">
        <v>Robert Anderson</v>
      </c>
    </row>
    <row r="76" spans="1:21" x14ac:dyDescent="0.3">
      <c r="A76" s="2" t="s">
        <v>13</v>
      </c>
      <c r="B76" s="2" t="s">
        <v>71</v>
      </c>
      <c r="C76" s="2" t="s">
        <v>20</v>
      </c>
      <c r="D76" s="2" t="s">
        <v>12</v>
      </c>
      <c r="E76" s="3">
        <v>804.45</v>
      </c>
      <c r="F76" s="3">
        <v>5</v>
      </c>
      <c r="G76" s="6">
        <v>0.2</v>
      </c>
      <c r="H76" s="4">
        <v>45509</v>
      </c>
      <c r="I76" s="3">
        <v>257.42</v>
      </c>
      <c r="L76" s="2" t="s">
        <v>71</v>
      </c>
      <c r="M76" s="3">
        <v>804.45</v>
      </c>
      <c r="O76" s="2">
        <f t="shared" si="3"/>
        <v>643.56000000000006</v>
      </c>
      <c r="Q76" s="2">
        <f t="shared" si="4"/>
        <v>0.4903570039090725</v>
      </c>
      <c r="S76" s="10">
        <f t="shared" ca="1" si="5"/>
        <v>46044.478013310189</v>
      </c>
      <c r="U76" s="2" t="str">
        <v>James Wilson</v>
      </c>
    </row>
    <row r="77" spans="1:21" x14ac:dyDescent="0.3">
      <c r="A77" s="2" t="s">
        <v>70</v>
      </c>
      <c r="B77" s="2" t="s">
        <v>38</v>
      </c>
      <c r="C77" s="2" t="s">
        <v>11</v>
      </c>
      <c r="D77" s="2" t="s">
        <v>21</v>
      </c>
      <c r="E77" s="3">
        <v>1526.6</v>
      </c>
      <c r="F77" s="3">
        <v>13</v>
      </c>
      <c r="G77" s="6">
        <v>0.2</v>
      </c>
      <c r="H77" s="4">
        <v>45512</v>
      </c>
      <c r="I77" s="3">
        <v>305.32</v>
      </c>
      <c r="L77" s="2" t="s">
        <v>38</v>
      </c>
      <c r="M77" s="3">
        <v>1526.6</v>
      </c>
      <c r="O77" s="2">
        <f t="shared" si="3"/>
        <v>1221.28</v>
      </c>
      <c r="Q77" s="2">
        <f t="shared" si="4"/>
        <v>0.8976940766983651</v>
      </c>
      <c r="S77" s="10">
        <f t="shared" ca="1" si="5"/>
        <v>46044.478013310189</v>
      </c>
      <c r="U77" s="2" t="str">
        <v>Lisa Thomas</v>
      </c>
    </row>
    <row r="78" spans="1:21" x14ac:dyDescent="0.3">
      <c r="A78" s="2" t="s">
        <v>13</v>
      </c>
      <c r="B78" s="2" t="s">
        <v>29</v>
      </c>
      <c r="C78" s="2" t="s">
        <v>11</v>
      </c>
      <c r="D78" s="2" t="s">
        <v>21</v>
      </c>
      <c r="E78" s="3">
        <v>1215.26</v>
      </c>
      <c r="F78" s="3">
        <v>5</v>
      </c>
      <c r="G78" s="6">
        <v>0.15</v>
      </c>
      <c r="H78" s="4">
        <v>45513</v>
      </c>
      <c r="I78" s="3">
        <v>258.24</v>
      </c>
      <c r="L78" s="2" t="s">
        <v>29</v>
      </c>
      <c r="M78" s="3">
        <v>1215.26</v>
      </c>
      <c r="O78" s="2">
        <f t="shared" si="3"/>
        <v>1032.971</v>
      </c>
      <c r="Q78" s="2">
        <f t="shared" si="4"/>
        <v>-0.20394340364208041</v>
      </c>
      <c r="S78" s="10">
        <f t="shared" ca="1" si="5"/>
        <v>46044.478013310189</v>
      </c>
      <c r="U78" s="2" t="str">
        <v>Mary Davis</v>
      </c>
    </row>
    <row r="79" spans="1:21" x14ac:dyDescent="0.3">
      <c r="A79" s="2" t="s">
        <v>19</v>
      </c>
      <c r="B79" s="2" t="s">
        <v>53</v>
      </c>
      <c r="C79" s="2" t="s">
        <v>34</v>
      </c>
      <c r="D79" s="2" t="s">
        <v>27</v>
      </c>
      <c r="E79" s="3">
        <v>1261.3399999999999</v>
      </c>
      <c r="F79" s="3">
        <v>3</v>
      </c>
      <c r="G79" s="6">
        <v>0</v>
      </c>
      <c r="H79" s="4">
        <v>45519</v>
      </c>
      <c r="I79" s="3">
        <v>441.47</v>
      </c>
      <c r="L79" s="2" t="s">
        <v>53</v>
      </c>
      <c r="M79" s="3">
        <v>1261.3399999999999</v>
      </c>
      <c r="O79" s="2">
        <f t="shared" si="3"/>
        <v>1261.3399999999999</v>
      </c>
      <c r="Q79" s="2">
        <f t="shared" si="4"/>
        <v>3.79178118262758E-2</v>
      </c>
      <c r="S79" s="10">
        <f t="shared" ca="1" si="5"/>
        <v>46044.478013310189</v>
      </c>
      <c r="U79" s="2" t="str">
        <v>James Taylor</v>
      </c>
    </row>
    <row r="80" spans="1:21" x14ac:dyDescent="0.3">
      <c r="A80" s="2" t="s">
        <v>72</v>
      </c>
      <c r="B80" s="2" t="s">
        <v>45</v>
      </c>
      <c r="C80" s="2" t="s">
        <v>24</v>
      </c>
      <c r="D80" s="2" t="s">
        <v>27</v>
      </c>
      <c r="E80" s="3">
        <v>518.07000000000005</v>
      </c>
      <c r="F80" s="3">
        <v>7</v>
      </c>
      <c r="G80" s="6">
        <v>0.05</v>
      </c>
      <c r="H80" s="4">
        <v>45522</v>
      </c>
      <c r="I80" s="3">
        <v>172.26</v>
      </c>
      <c r="L80" s="2" t="s">
        <v>45</v>
      </c>
      <c r="M80" s="3">
        <v>518.07000000000005</v>
      </c>
      <c r="O80" s="2">
        <f t="shared" si="3"/>
        <v>492.16650000000004</v>
      </c>
      <c r="Q80" s="2">
        <f t="shared" si="4"/>
        <v>-0.589270141278323</v>
      </c>
      <c r="S80" s="10">
        <f t="shared" ca="1" si="5"/>
        <v>46044.478013310189</v>
      </c>
      <c r="U80" s="2" t="str">
        <v>Linda Taylor</v>
      </c>
    </row>
    <row r="81" spans="1:21" x14ac:dyDescent="0.3">
      <c r="A81" s="2" t="s">
        <v>30</v>
      </c>
      <c r="B81" s="2" t="s">
        <v>29</v>
      </c>
      <c r="C81" s="2" t="s">
        <v>11</v>
      </c>
      <c r="D81" s="2" t="s">
        <v>39</v>
      </c>
      <c r="E81" s="3">
        <v>1111.3399999999999</v>
      </c>
      <c r="F81" s="3">
        <v>1</v>
      </c>
      <c r="G81" s="6">
        <v>0</v>
      </c>
      <c r="H81" s="4">
        <v>45523</v>
      </c>
      <c r="I81" s="3">
        <v>500.1</v>
      </c>
      <c r="L81" s="2" t="s">
        <v>29</v>
      </c>
      <c r="M81" s="3">
        <v>1111.3399999999999</v>
      </c>
      <c r="O81" s="2">
        <f t="shared" si="3"/>
        <v>1111.3399999999999</v>
      </c>
      <c r="Q81" s="2">
        <f t="shared" si="4"/>
        <v>1.1451541297508054</v>
      </c>
      <c r="S81" s="10">
        <f t="shared" ca="1" si="5"/>
        <v>46044.478013310189</v>
      </c>
      <c r="U81" s="2" t="str">
        <v>Mary Davis</v>
      </c>
    </row>
    <row r="82" spans="1:21" x14ac:dyDescent="0.3">
      <c r="A82" s="2" t="s">
        <v>22</v>
      </c>
      <c r="B82" s="2" t="s">
        <v>31</v>
      </c>
      <c r="C82" s="2" t="s">
        <v>18</v>
      </c>
      <c r="D82" s="2" t="s">
        <v>15</v>
      </c>
      <c r="E82" s="3">
        <v>1291.47</v>
      </c>
      <c r="F82" s="3">
        <v>18</v>
      </c>
      <c r="G82" s="6">
        <v>0.1</v>
      </c>
      <c r="H82" s="4">
        <v>45526</v>
      </c>
      <c r="I82" s="3">
        <v>581.16</v>
      </c>
      <c r="L82" s="2" t="s">
        <v>31</v>
      </c>
      <c r="M82" s="3">
        <v>1291.47</v>
      </c>
      <c r="O82" s="2">
        <f t="shared" si="3"/>
        <v>1162.3230000000001</v>
      </c>
      <c r="Q82" s="2">
        <f t="shared" si="4"/>
        <v>0.16208361077618022</v>
      </c>
      <c r="S82" s="10">
        <f t="shared" ca="1" si="5"/>
        <v>46044.478013310189</v>
      </c>
      <c r="U82" s="2" t="str">
        <v>Lisa Thomas</v>
      </c>
    </row>
    <row r="83" spans="1:21" x14ac:dyDescent="0.3">
      <c r="A83" s="2" t="s">
        <v>25</v>
      </c>
      <c r="B83" s="2" t="s">
        <v>55</v>
      </c>
      <c r="C83" s="2" t="s">
        <v>24</v>
      </c>
      <c r="D83" s="2" t="s">
        <v>12</v>
      </c>
      <c r="E83" s="3">
        <v>679.71</v>
      </c>
      <c r="F83" s="3">
        <v>19</v>
      </c>
      <c r="G83" s="6">
        <v>0</v>
      </c>
      <c r="H83" s="4">
        <v>45534</v>
      </c>
      <c r="I83" s="3">
        <v>271.88</v>
      </c>
      <c r="L83" s="2" t="s">
        <v>55</v>
      </c>
      <c r="M83" s="3">
        <v>679.71</v>
      </c>
      <c r="O83" s="2">
        <f t="shared" si="3"/>
        <v>679.71</v>
      </c>
      <c r="Q83" s="2">
        <f t="shared" si="4"/>
        <v>-0.4736927687054287</v>
      </c>
      <c r="S83" s="10">
        <f t="shared" ca="1" si="5"/>
        <v>46044.478013310189</v>
      </c>
      <c r="U83" s="2" t="str">
        <v>James Davis</v>
      </c>
    </row>
    <row r="84" spans="1:21" x14ac:dyDescent="0.3">
      <c r="A84" s="2" t="s">
        <v>68</v>
      </c>
      <c r="B84" s="2" t="s">
        <v>33</v>
      </c>
      <c r="C84" s="2" t="s">
        <v>18</v>
      </c>
      <c r="D84" s="2" t="s">
        <v>27</v>
      </c>
      <c r="E84" s="3">
        <v>1143.69</v>
      </c>
      <c r="F84" s="3">
        <v>17</v>
      </c>
      <c r="G84" s="6">
        <v>0</v>
      </c>
      <c r="H84" s="4">
        <v>45534</v>
      </c>
      <c r="I84" s="3">
        <v>400.29</v>
      </c>
      <c r="L84" s="2" t="s">
        <v>33</v>
      </c>
      <c r="M84" s="3">
        <v>1143.69</v>
      </c>
      <c r="O84" s="2">
        <f t="shared" si="3"/>
        <v>1143.69</v>
      </c>
      <c r="Q84" s="2">
        <f t="shared" si="4"/>
        <v>0.68261464448073439</v>
      </c>
      <c r="S84" s="10">
        <f t="shared" ca="1" si="5"/>
        <v>46044.478013310189</v>
      </c>
      <c r="U84" s="2" t="str">
        <v>James Wilson</v>
      </c>
    </row>
    <row r="85" spans="1:21" x14ac:dyDescent="0.3">
      <c r="A85" s="2" t="s">
        <v>52</v>
      </c>
      <c r="B85" s="2" t="s">
        <v>50</v>
      </c>
      <c r="C85" s="2" t="s">
        <v>34</v>
      </c>
      <c r="D85" s="2" t="s">
        <v>21</v>
      </c>
      <c r="E85" s="3">
        <v>790.08</v>
      </c>
      <c r="F85" s="3">
        <v>7</v>
      </c>
      <c r="G85" s="6">
        <v>0.1</v>
      </c>
      <c r="H85" s="4">
        <v>45536</v>
      </c>
      <c r="I85" s="3">
        <v>177.77</v>
      </c>
      <c r="L85" s="2" t="s">
        <v>50</v>
      </c>
      <c r="M85" s="3">
        <v>790.08</v>
      </c>
      <c r="O85" s="2">
        <f t="shared" si="3"/>
        <v>711.072</v>
      </c>
      <c r="Q85" s="2">
        <f t="shared" si="4"/>
        <v>-0.30918343257351205</v>
      </c>
      <c r="S85" s="10">
        <f t="shared" ca="1" si="5"/>
        <v>46044.478013310189</v>
      </c>
      <c r="U85" s="2" t="str">
        <v>David Brown</v>
      </c>
    </row>
    <row r="86" spans="1:21" x14ac:dyDescent="0.3">
      <c r="A86" s="2" t="s">
        <v>19</v>
      </c>
      <c r="B86" s="2" t="s">
        <v>48</v>
      </c>
      <c r="C86" s="2" t="s">
        <v>34</v>
      </c>
      <c r="D86" s="2" t="s">
        <v>12</v>
      </c>
      <c r="E86" s="3">
        <v>1070.68</v>
      </c>
      <c r="F86" s="3">
        <v>7</v>
      </c>
      <c r="G86" s="6">
        <v>0.05</v>
      </c>
      <c r="H86" s="4">
        <v>45536</v>
      </c>
      <c r="I86" s="3">
        <v>406.86</v>
      </c>
      <c r="L86" s="2" t="s">
        <v>48</v>
      </c>
      <c r="M86" s="3">
        <v>1070.68</v>
      </c>
      <c r="O86" s="2">
        <f t="shared" si="3"/>
        <v>1017.146</v>
      </c>
      <c r="Q86" s="2">
        <f t="shared" si="4"/>
        <v>0.35515390846496558</v>
      </c>
      <c r="S86" s="10">
        <f t="shared" ca="1" si="5"/>
        <v>46044.478013310189</v>
      </c>
      <c r="U86" s="2" t="str">
        <v>Mary Davis</v>
      </c>
    </row>
    <row r="87" spans="1:21" x14ac:dyDescent="0.3">
      <c r="A87" s="2" t="s">
        <v>58</v>
      </c>
      <c r="B87" s="2" t="s">
        <v>36</v>
      </c>
      <c r="C87" s="2" t="s">
        <v>11</v>
      </c>
      <c r="D87" s="2" t="s">
        <v>15</v>
      </c>
      <c r="E87" s="3">
        <v>1168.8900000000001</v>
      </c>
      <c r="F87" s="3">
        <v>4</v>
      </c>
      <c r="G87" s="6">
        <v>0.1</v>
      </c>
      <c r="H87" s="4">
        <v>45544</v>
      </c>
      <c r="I87" s="3">
        <v>526</v>
      </c>
      <c r="L87" s="2" t="s">
        <v>36</v>
      </c>
      <c r="M87" s="3">
        <v>1168.8900000000001</v>
      </c>
      <c r="O87" s="2">
        <f t="shared" si="3"/>
        <v>1052.0010000000002</v>
      </c>
      <c r="Q87" s="2">
        <f t="shared" si="4"/>
        <v>9.1726753091493279E-2</v>
      </c>
      <c r="S87" s="10">
        <f t="shared" ca="1" si="5"/>
        <v>46044.478013310189</v>
      </c>
      <c r="U87" s="2" t="str">
        <v>Mary Jackson</v>
      </c>
    </row>
    <row r="88" spans="1:21" x14ac:dyDescent="0.3">
      <c r="A88" s="2" t="s">
        <v>67</v>
      </c>
      <c r="B88" s="2" t="s">
        <v>10</v>
      </c>
      <c r="C88" s="2" t="s">
        <v>20</v>
      </c>
      <c r="D88" s="2" t="s">
        <v>21</v>
      </c>
      <c r="E88" s="3">
        <v>1335.87</v>
      </c>
      <c r="F88" s="3">
        <v>17</v>
      </c>
      <c r="G88" s="6">
        <v>0</v>
      </c>
      <c r="H88" s="4">
        <v>45544</v>
      </c>
      <c r="I88" s="3">
        <v>333.97</v>
      </c>
      <c r="L88" s="2" t="s">
        <v>10</v>
      </c>
      <c r="M88" s="3">
        <v>1335.87</v>
      </c>
      <c r="O88" s="2">
        <f t="shared" si="3"/>
        <v>1335.87</v>
      </c>
      <c r="Q88" s="2">
        <f t="shared" si="4"/>
        <v>0.14285347637502227</v>
      </c>
      <c r="S88" s="10">
        <f t="shared" ca="1" si="5"/>
        <v>46044.478013310189</v>
      </c>
      <c r="U88" s="2" t="str">
        <v>Linda Taylor</v>
      </c>
    </row>
    <row r="89" spans="1:21" x14ac:dyDescent="0.3">
      <c r="A89" s="2" t="s">
        <v>40</v>
      </c>
      <c r="B89" s="2" t="s">
        <v>55</v>
      </c>
      <c r="C89" s="2" t="s">
        <v>18</v>
      </c>
      <c r="D89" s="2" t="s">
        <v>27</v>
      </c>
      <c r="E89" s="3">
        <v>873.7</v>
      </c>
      <c r="F89" s="3">
        <v>9</v>
      </c>
      <c r="G89" s="6">
        <v>0</v>
      </c>
      <c r="H89" s="4">
        <v>45546</v>
      </c>
      <c r="I89" s="3">
        <v>305.8</v>
      </c>
      <c r="L89" s="2" t="s">
        <v>55</v>
      </c>
      <c r="M89" s="3">
        <v>873.7</v>
      </c>
      <c r="O89" s="2">
        <f t="shared" si="3"/>
        <v>873.7</v>
      </c>
      <c r="Q89" s="2">
        <f t="shared" si="4"/>
        <v>-0.34596929341926974</v>
      </c>
      <c r="S89" s="10">
        <f t="shared" ca="1" si="5"/>
        <v>46044.478013310189</v>
      </c>
      <c r="U89" s="2" t="str">
        <v>Mary Davis</v>
      </c>
    </row>
    <row r="90" spans="1:21" x14ac:dyDescent="0.3">
      <c r="A90" s="2" t="s">
        <v>72</v>
      </c>
      <c r="B90" s="2" t="s">
        <v>64</v>
      </c>
      <c r="C90" s="2" t="s">
        <v>11</v>
      </c>
      <c r="D90" s="2" t="s">
        <v>39</v>
      </c>
      <c r="E90" s="3">
        <v>1443.98</v>
      </c>
      <c r="F90" s="3">
        <v>19</v>
      </c>
      <c r="G90" s="6">
        <v>0</v>
      </c>
      <c r="H90" s="4">
        <v>45547</v>
      </c>
      <c r="I90" s="3">
        <v>649.79</v>
      </c>
      <c r="L90" s="2" t="s">
        <v>64</v>
      </c>
      <c r="M90" s="3">
        <v>1443.98</v>
      </c>
      <c r="O90" s="2">
        <f t="shared" si="3"/>
        <v>1443.98</v>
      </c>
      <c r="Q90" s="2">
        <f t="shared" si="4"/>
        <v>0.65271832436763189</v>
      </c>
      <c r="S90" s="10">
        <f t="shared" ca="1" si="5"/>
        <v>46044.478013310189</v>
      </c>
      <c r="U90" s="2" t="str">
        <v>Linda Wilson</v>
      </c>
    </row>
    <row r="91" spans="1:21" x14ac:dyDescent="0.3">
      <c r="A91" s="2" t="s">
        <v>40</v>
      </c>
      <c r="B91" s="2" t="s">
        <v>23</v>
      </c>
      <c r="C91" s="2" t="s">
        <v>18</v>
      </c>
      <c r="D91" s="2" t="s">
        <v>39</v>
      </c>
      <c r="E91" s="3">
        <v>1154.33</v>
      </c>
      <c r="F91" s="3">
        <v>11</v>
      </c>
      <c r="G91" s="6">
        <v>0.15</v>
      </c>
      <c r="H91" s="4">
        <v>45549</v>
      </c>
      <c r="I91" s="3">
        <v>441.53</v>
      </c>
      <c r="L91" s="2" t="s">
        <v>23</v>
      </c>
      <c r="M91" s="3">
        <v>1154.33</v>
      </c>
      <c r="O91" s="2">
        <f t="shared" si="3"/>
        <v>981.18049999999994</v>
      </c>
      <c r="Q91" s="2">
        <f t="shared" si="4"/>
        <v>-0.200591420933808</v>
      </c>
      <c r="S91" s="10">
        <f t="shared" ca="1" si="5"/>
        <v>46044.478013310189</v>
      </c>
      <c r="U91" s="2" t="str">
        <v>Emma Davis</v>
      </c>
    </row>
    <row r="92" spans="1:21" x14ac:dyDescent="0.3">
      <c r="A92" s="2" t="s">
        <v>49</v>
      </c>
      <c r="B92" s="2" t="s">
        <v>50</v>
      </c>
      <c r="C92" s="2" t="s">
        <v>20</v>
      </c>
      <c r="D92" s="2" t="s">
        <v>12</v>
      </c>
      <c r="E92" s="3">
        <v>1264.49</v>
      </c>
      <c r="F92" s="3">
        <v>16</v>
      </c>
      <c r="G92" s="6">
        <v>0.05</v>
      </c>
      <c r="H92" s="4">
        <v>45549</v>
      </c>
      <c r="I92" s="3">
        <v>480.51</v>
      </c>
      <c r="L92" s="2" t="s">
        <v>50</v>
      </c>
      <c r="M92" s="3">
        <v>1264.49</v>
      </c>
      <c r="O92" s="2">
        <f t="shared" si="3"/>
        <v>1201.2655</v>
      </c>
      <c r="Q92" s="2">
        <f t="shared" si="4"/>
        <v>9.5431982188802236E-2</v>
      </c>
      <c r="S92" s="10">
        <f t="shared" ca="1" si="5"/>
        <v>46044.478013310189</v>
      </c>
      <c r="U92" s="2" t="str">
        <v>David Brown</v>
      </c>
    </row>
    <row r="93" spans="1:21" x14ac:dyDescent="0.3">
      <c r="A93" s="2" t="s">
        <v>25</v>
      </c>
      <c r="B93" s="2" t="s">
        <v>66</v>
      </c>
      <c r="C93" s="2" t="s">
        <v>11</v>
      </c>
      <c r="D93" s="2" t="s">
        <v>27</v>
      </c>
      <c r="E93" s="3">
        <v>1101.55</v>
      </c>
      <c r="F93" s="3">
        <v>4</v>
      </c>
      <c r="G93" s="6">
        <v>0.1</v>
      </c>
      <c r="H93" s="4">
        <v>45551</v>
      </c>
      <c r="I93" s="3">
        <v>346.99</v>
      </c>
      <c r="L93" s="2" t="s">
        <v>66</v>
      </c>
      <c r="M93" s="3">
        <v>1101.55</v>
      </c>
      <c r="O93" s="2">
        <f t="shared" si="3"/>
        <v>991.39499999999998</v>
      </c>
      <c r="Q93" s="2">
        <f t="shared" si="4"/>
        <v>-0.12885827487761869</v>
      </c>
      <c r="S93" s="10">
        <f t="shared" ca="1" si="5"/>
        <v>46044.478013310189</v>
      </c>
      <c r="U93" s="2" t="str">
        <v>Michael Anderson</v>
      </c>
    </row>
    <row r="94" spans="1:21" x14ac:dyDescent="0.3">
      <c r="A94" s="2" t="s">
        <v>73</v>
      </c>
      <c r="B94" s="2" t="s">
        <v>14</v>
      </c>
      <c r="C94" s="2" t="s">
        <v>20</v>
      </c>
      <c r="D94" s="2" t="s">
        <v>27</v>
      </c>
      <c r="E94" s="3">
        <v>727.73</v>
      </c>
      <c r="F94" s="3">
        <v>1</v>
      </c>
      <c r="G94" s="6">
        <v>0.1</v>
      </c>
      <c r="H94" s="4">
        <v>45552</v>
      </c>
      <c r="I94" s="3">
        <v>229.23</v>
      </c>
      <c r="L94" s="2" t="s">
        <v>14</v>
      </c>
      <c r="M94" s="3">
        <v>727.73</v>
      </c>
      <c r="O94" s="2">
        <f t="shared" si="3"/>
        <v>654.95699999999999</v>
      </c>
      <c r="Q94" s="2">
        <f t="shared" si="4"/>
        <v>-0.33935817711406652</v>
      </c>
      <c r="S94" s="10">
        <f t="shared" ca="1" si="5"/>
        <v>46044.478013310189</v>
      </c>
      <c r="U94" s="2" t="str">
        <v>David Anderson</v>
      </c>
    </row>
    <row r="95" spans="1:21" x14ac:dyDescent="0.3">
      <c r="A95" s="2" t="s">
        <v>74</v>
      </c>
      <c r="B95" s="2" t="s">
        <v>38</v>
      </c>
      <c r="C95" s="2" t="s">
        <v>18</v>
      </c>
      <c r="D95" s="2" t="s">
        <v>39</v>
      </c>
      <c r="E95" s="3">
        <v>875.41</v>
      </c>
      <c r="F95" s="3">
        <v>13</v>
      </c>
      <c r="G95" s="6">
        <v>0.15</v>
      </c>
      <c r="H95" s="4">
        <v>45552</v>
      </c>
      <c r="I95" s="3">
        <v>334.84</v>
      </c>
      <c r="L95" s="2" t="s">
        <v>38</v>
      </c>
      <c r="M95" s="3">
        <v>875.41</v>
      </c>
      <c r="O95" s="2">
        <f t="shared" si="3"/>
        <v>744.09849999999994</v>
      </c>
      <c r="Q95" s="2">
        <f t="shared" si="4"/>
        <v>0.20293240624957051</v>
      </c>
      <c r="S95" s="10">
        <f t="shared" ca="1" si="5"/>
        <v>46044.478013310189</v>
      </c>
      <c r="U95" s="2" t="str">
        <v>Emma Wilson</v>
      </c>
    </row>
    <row r="96" spans="1:21" x14ac:dyDescent="0.3">
      <c r="A96" s="2" t="s">
        <v>67</v>
      </c>
      <c r="B96" s="2" t="s">
        <v>23</v>
      </c>
      <c r="C96" s="2" t="s">
        <v>11</v>
      </c>
      <c r="D96" s="2" t="s">
        <v>21</v>
      </c>
      <c r="E96" s="3">
        <v>1158.94</v>
      </c>
      <c r="F96" s="3">
        <v>19</v>
      </c>
      <c r="G96" s="6">
        <v>0.2</v>
      </c>
      <c r="H96" s="4">
        <v>45553</v>
      </c>
      <c r="I96" s="3">
        <v>231.79</v>
      </c>
      <c r="L96" s="2" t="s">
        <v>23</v>
      </c>
      <c r="M96" s="3">
        <v>1158.94</v>
      </c>
      <c r="O96" s="2">
        <f t="shared" si="3"/>
        <v>927.15200000000004</v>
      </c>
      <c r="Q96" s="2">
        <f t="shared" si="4"/>
        <v>0.32388252361750502</v>
      </c>
      <c r="S96" s="10">
        <f t="shared" ca="1" si="5"/>
        <v>46044.478013310189</v>
      </c>
      <c r="U96" s="2" t="str">
        <v>David Thomas</v>
      </c>
    </row>
    <row r="97" spans="1:19" x14ac:dyDescent="0.3">
      <c r="A97" s="2" t="s">
        <v>75</v>
      </c>
      <c r="B97" s="2" t="s">
        <v>47</v>
      </c>
      <c r="C97" s="2" t="s">
        <v>20</v>
      </c>
      <c r="D97" s="2" t="s">
        <v>12</v>
      </c>
      <c r="E97" s="3">
        <v>966.3</v>
      </c>
      <c r="F97" s="3">
        <v>2</v>
      </c>
      <c r="G97" s="6">
        <v>0.15</v>
      </c>
      <c r="H97" s="4">
        <v>45557</v>
      </c>
      <c r="I97" s="3">
        <v>328.54</v>
      </c>
      <c r="L97" s="2" t="s">
        <v>47</v>
      </c>
      <c r="M97" s="3">
        <v>966.3</v>
      </c>
      <c r="O97" s="2">
        <f t="shared" si="3"/>
        <v>821.3549999999999</v>
      </c>
      <c r="Q97" s="2">
        <f t="shared" si="4"/>
        <v>-0.16622085699000819</v>
      </c>
      <c r="S97" s="10">
        <f t="shared" ca="1" si="5"/>
        <v>46044.478013310189</v>
      </c>
    </row>
    <row r="98" spans="1:19" x14ac:dyDescent="0.3">
      <c r="A98" s="2" t="s">
        <v>68</v>
      </c>
      <c r="B98" s="2" t="s">
        <v>17</v>
      </c>
      <c r="C98" s="2" t="s">
        <v>20</v>
      </c>
      <c r="D98" s="2" t="s">
        <v>12</v>
      </c>
      <c r="E98" s="3">
        <v>917.48</v>
      </c>
      <c r="F98" s="3">
        <v>6</v>
      </c>
      <c r="G98" s="6">
        <v>0</v>
      </c>
      <c r="H98" s="4">
        <v>45558</v>
      </c>
      <c r="I98" s="3">
        <v>366.99</v>
      </c>
      <c r="L98" s="2" t="s">
        <v>17</v>
      </c>
      <c r="M98" s="3">
        <v>917.48</v>
      </c>
      <c r="O98" s="2">
        <f t="shared" si="3"/>
        <v>917.48</v>
      </c>
      <c r="Q98" s="2">
        <f t="shared" si="4"/>
        <v>-5.0522612025250893E-2</v>
      </c>
      <c r="S98" s="10">
        <f t="shared" ca="1" si="5"/>
        <v>46044.478013310189</v>
      </c>
    </row>
    <row r="99" spans="1:19" x14ac:dyDescent="0.3">
      <c r="A99" s="2" t="s">
        <v>41</v>
      </c>
      <c r="B99" s="2" t="s">
        <v>61</v>
      </c>
      <c r="C99" s="2" t="s">
        <v>11</v>
      </c>
      <c r="D99" s="2" t="s">
        <v>27</v>
      </c>
      <c r="E99" s="3">
        <v>1172.97</v>
      </c>
      <c r="F99" s="3">
        <v>7</v>
      </c>
      <c r="G99" s="6">
        <v>0.15</v>
      </c>
      <c r="H99" s="4">
        <v>45559</v>
      </c>
      <c r="I99" s="3">
        <v>348.96</v>
      </c>
      <c r="L99" s="2" t="s">
        <v>61</v>
      </c>
      <c r="M99" s="3">
        <v>1172.97</v>
      </c>
      <c r="O99" s="2">
        <f t="shared" si="3"/>
        <v>997.02449999999999</v>
      </c>
      <c r="Q99" s="2">
        <f t="shared" si="4"/>
        <v>0.27846928543401489</v>
      </c>
      <c r="S99" s="10">
        <f t="shared" ca="1" si="5"/>
        <v>46044.478013310189</v>
      </c>
    </row>
    <row r="100" spans="1:19" x14ac:dyDescent="0.3">
      <c r="A100" s="2" t="s">
        <v>57</v>
      </c>
      <c r="B100" s="2" t="s">
        <v>23</v>
      </c>
      <c r="C100" s="2" t="s">
        <v>24</v>
      </c>
      <c r="D100" s="2" t="s">
        <v>15</v>
      </c>
      <c r="E100" s="3">
        <v>1205.82</v>
      </c>
      <c r="F100" s="3">
        <v>11</v>
      </c>
      <c r="G100" s="6">
        <v>0.1</v>
      </c>
      <c r="H100" s="4">
        <v>45559</v>
      </c>
      <c r="I100" s="3">
        <v>542.62</v>
      </c>
      <c r="L100" s="2" t="s">
        <v>23</v>
      </c>
      <c r="M100" s="3">
        <v>1205.82</v>
      </c>
      <c r="O100" s="2">
        <f t="shared" si="3"/>
        <v>1085.2380000000001</v>
      </c>
      <c r="Q100" s="2">
        <f t="shared" si="4"/>
        <v>2.8005831351185374E-2</v>
      </c>
      <c r="S100" s="10">
        <f t="shared" ca="1" si="5"/>
        <v>46044.478013310189</v>
      </c>
    </row>
    <row r="101" spans="1:19" x14ac:dyDescent="0.3">
      <c r="A101" s="2" t="s">
        <v>16</v>
      </c>
      <c r="B101" s="2" t="s">
        <v>64</v>
      </c>
      <c r="C101" s="2" t="s">
        <v>11</v>
      </c>
      <c r="D101" s="2" t="s">
        <v>39</v>
      </c>
      <c r="E101" s="3">
        <v>826.93</v>
      </c>
      <c r="F101" s="3">
        <v>10</v>
      </c>
      <c r="G101" s="6">
        <v>0.2</v>
      </c>
      <c r="H101" s="4">
        <v>45564</v>
      </c>
      <c r="I101" s="3">
        <v>297.69</v>
      </c>
      <c r="L101" s="2" t="s">
        <v>64</v>
      </c>
      <c r="M101" s="3">
        <v>826.93</v>
      </c>
      <c r="O101" s="2">
        <f t="shared" si="3"/>
        <v>661.54399999999998</v>
      </c>
      <c r="Q101" s="2">
        <f t="shared" si="4"/>
        <v>-0.31421771076943489</v>
      </c>
      <c r="S101" s="10">
        <f t="shared" ca="1" si="5"/>
        <v>46044.478013310189</v>
      </c>
    </row>
    <row r="102" spans="1:19" x14ac:dyDescent="0.3">
      <c r="A102" s="2" t="s">
        <v>67</v>
      </c>
      <c r="B102" s="2" t="s">
        <v>23</v>
      </c>
      <c r="C102" s="2" t="s">
        <v>34</v>
      </c>
      <c r="D102" s="2" t="s">
        <v>15</v>
      </c>
      <c r="E102" s="3">
        <v>902.19</v>
      </c>
      <c r="F102" s="3">
        <v>12</v>
      </c>
      <c r="G102" s="6">
        <v>0</v>
      </c>
      <c r="H102" s="4">
        <v>45564</v>
      </c>
      <c r="I102" s="3">
        <v>451.1</v>
      </c>
      <c r="L102" s="2" t="s">
        <v>23</v>
      </c>
      <c r="M102" s="3">
        <v>902.19</v>
      </c>
      <c r="O102" s="2">
        <f t="shared" si="3"/>
        <v>902.19</v>
      </c>
      <c r="Q102" s="2">
        <f t="shared" si="4"/>
        <v>9.1011331067926068E-2</v>
      </c>
      <c r="S102" s="10">
        <f t="shared" ca="1" si="5"/>
        <v>46044.478013310189</v>
      </c>
    </row>
    <row r="103" spans="1:19" x14ac:dyDescent="0.3">
      <c r="A103" s="2" t="s">
        <v>74</v>
      </c>
      <c r="B103" s="2" t="s">
        <v>38</v>
      </c>
      <c r="C103" s="2" t="s">
        <v>24</v>
      </c>
      <c r="D103" s="2" t="s">
        <v>12</v>
      </c>
      <c r="E103" s="3">
        <v>585.97</v>
      </c>
      <c r="F103" s="3">
        <v>17</v>
      </c>
      <c r="G103" s="6">
        <v>0.1</v>
      </c>
      <c r="H103" s="4">
        <v>45565</v>
      </c>
      <c r="I103" s="3">
        <v>210.95</v>
      </c>
      <c r="L103" s="2" t="s">
        <v>38</v>
      </c>
      <c r="M103" s="3">
        <v>585.97</v>
      </c>
      <c r="O103" s="2">
        <f t="shared" si="3"/>
        <v>527.37300000000005</v>
      </c>
      <c r="Q103" s="2">
        <f t="shared" si="4"/>
        <v>-0.35050266573559896</v>
      </c>
      <c r="S103" s="10">
        <f t="shared" ca="1" si="5"/>
        <v>46044.478013310189</v>
      </c>
    </row>
    <row r="104" spans="1:19" x14ac:dyDescent="0.3">
      <c r="A104" s="2" t="s">
        <v>60</v>
      </c>
      <c r="B104" s="2" t="s">
        <v>26</v>
      </c>
      <c r="C104" s="2" t="s">
        <v>24</v>
      </c>
      <c r="D104" s="2" t="s">
        <v>15</v>
      </c>
      <c r="E104" s="3">
        <v>990.19</v>
      </c>
      <c r="F104" s="3">
        <v>8</v>
      </c>
      <c r="G104" s="6">
        <v>0.1</v>
      </c>
      <c r="H104" s="4">
        <v>45565</v>
      </c>
      <c r="I104" s="3">
        <v>445.59</v>
      </c>
      <c r="L104" s="2" t="s">
        <v>26</v>
      </c>
      <c r="M104" s="3">
        <v>990.19</v>
      </c>
      <c r="O104" s="2">
        <f t="shared" si="3"/>
        <v>891.17100000000005</v>
      </c>
      <c r="Q104" s="2">
        <f t="shared" si="4"/>
        <v>0.6898305373995256</v>
      </c>
      <c r="S104" s="10">
        <f t="shared" ca="1" si="5"/>
        <v>46044.478013310189</v>
      </c>
    </row>
    <row r="105" spans="1:19" x14ac:dyDescent="0.3">
      <c r="A105" s="2" t="s">
        <v>44</v>
      </c>
      <c r="B105" s="2" t="s">
        <v>56</v>
      </c>
      <c r="C105" s="2" t="s">
        <v>34</v>
      </c>
      <c r="D105" s="2" t="s">
        <v>21</v>
      </c>
      <c r="E105" s="3">
        <v>1014.09</v>
      </c>
      <c r="F105" s="3">
        <v>13</v>
      </c>
      <c r="G105" s="6">
        <v>0.2</v>
      </c>
      <c r="H105" s="4">
        <v>45567</v>
      </c>
      <c r="I105" s="3">
        <v>202.82</v>
      </c>
      <c r="L105" s="2" t="s">
        <v>56</v>
      </c>
      <c r="M105" s="3">
        <v>1014.09</v>
      </c>
      <c r="O105" s="2">
        <f t="shared" si="3"/>
        <v>811.27200000000005</v>
      </c>
      <c r="Q105" s="2">
        <f t="shared" si="4"/>
        <v>2.413678182974982E-2</v>
      </c>
      <c r="S105" s="10">
        <f t="shared" ca="1" si="5"/>
        <v>46044.478013310189</v>
      </c>
    </row>
    <row r="106" spans="1:19" x14ac:dyDescent="0.3">
      <c r="A106" s="2" t="s">
        <v>13</v>
      </c>
      <c r="B106" s="2" t="s">
        <v>48</v>
      </c>
      <c r="C106" s="2" t="s">
        <v>24</v>
      </c>
      <c r="D106" s="2" t="s">
        <v>21</v>
      </c>
      <c r="E106" s="3">
        <v>925.29</v>
      </c>
      <c r="F106" s="3">
        <v>17</v>
      </c>
      <c r="G106" s="6">
        <v>0</v>
      </c>
      <c r="H106" s="4">
        <v>45570</v>
      </c>
      <c r="I106" s="3">
        <v>231.32</v>
      </c>
      <c r="L106" s="2" t="s">
        <v>48</v>
      </c>
      <c r="M106" s="3">
        <v>925.29</v>
      </c>
      <c r="O106" s="2">
        <f t="shared" si="3"/>
        <v>925.29</v>
      </c>
      <c r="Q106" s="2">
        <f t="shared" si="4"/>
        <v>-8.7566192349791502E-2</v>
      </c>
      <c r="S106" s="10">
        <f t="shared" ca="1" si="5"/>
        <v>46044.478013310189</v>
      </c>
    </row>
    <row r="107" spans="1:19" x14ac:dyDescent="0.3">
      <c r="A107" s="2" t="s">
        <v>54</v>
      </c>
      <c r="B107" s="2" t="s">
        <v>47</v>
      </c>
      <c r="C107" s="2" t="s">
        <v>18</v>
      </c>
      <c r="D107" s="2" t="s">
        <v>27</v>
      </c>
      <c r="E107" s="3">
        <v>1286.54</v>
      </c>
      <c r="F107" s="3">
        <v>8</v>
      </c>
      <c r="G107" s="6">
        <v>0</v>
      </c>
      <c r="H107" s="4">
        <v>45575</v>
      </c>
      <c r="I107" s="3">
        <v>450.29</v>
      </c>
      <c r="L107" s="2" t="s">
        <v>47</v>
      </c>
      <c r="M107" s="3">
        <v>1286.54</v>
      </c>
      <c r="O107" s="2">
        <f t="shared" si="3"/>
        <v>1286.54</v>
      </c>
      <c r="Q107" s="2">
        <f t="shared" si="4"/>
        <v>0.39041813917798746</v>
      </c>
      <c r="S107" s="10">
        <f t="shared" ca="1" si="5"/>
        <v>46044.478013310189</v>
      </c>
    </row>
    <row r="108" spans="1:19" x14ac:dyDescent="0.3">
      <c r="A108" s="2" t="s">
        <v>37</v>
      </c>
      <c r="B108" s="2" t="s">
        <v>64</v>
      </c>
      <c r="C108" s="2" t="s">
        <v>20</v>
      </c>
      <c r="D108" s="2" t="s">
        <v>12</v>
      </c>
      <c r="E108" s="3">
        <v>961.62</v>
      </c>
      <c r="F108" s="3">
        <v>8</v>
      </c>
      <c r="G108" s="6">
        <v>0.2</v>
      </c>
      <c r="H108" s="4">
        <v>45577</v>
      </c>
      <c r="I108" s="3">
        <v>307.72000000000003</v>
      </c>
      <c r="L108" s="2" t="s">
        <v>64</v>
      </c>
      <c r="M108" s="3">
        <v>961.62</v>
      </c>
      <c r="O108" s="2">
        <f t="shared" si="3"/>
        <v>769.29600000000005</v>
      </c>
      <c r="Q108" s="2">
        <f t="shared" si="4"/>
        <v>-0.25255336017535401</v>
      </c>
      <c r="S108" s="10">
        <f t="shared" ca="1" si="5"/>
        <v>46044.478013310189</v>
      </c>
    </row>
    <row r="109" spans="1:19" x14ac:dyDescent="0.3">
      <c r="A109" s="2" t="s">
        <v>44</v>
      </c>
      <c r="B109" s="2" t="s">
        <v>23</v>
      </c>
      <c r="C109" s="2" t="s">
        <v>18</v>
      </c>
      <c r="D109" s="2" t="s">
        <v>12</v>
      </c>
      <c r="E109" s="3">
        <v>1081.1400000000001</v>
      </c>
      <c r="F109" s="3">
        <v>19</v>
      </c>
      <c r="G109" s="6">
        <v>0.15</v>
      </c>
      <c r="H109" s="4">
        <v>45577</v>
      </c>
      <c r="I109" s="3">
        <v>367.59</v>
      </c>
      <c r="L109" s="2" t="s">
        <v>23</v>
      </c>
      <c r="M109" s="3">
        <v>1081.1400000000001</v>
      </c>
      <c r="O109" s="2">
        <f t="shared" si="3"/>
        <v>918.96900000000005</v>
      </c>
      <c r="Q109" s="2">
        <f t="shared" si="4"/>
        <v>0.12429026018593634</v>
      </c>
      <c r="S109" s="10">
        <f t="shared" ca="1" si="5"/>
        <v>46044.478013310189</v>
      </c>
    </row>
    <row r="110" spans="1:19" x14ac:dyDescent="0.3">
      <c r="A110" s="2" t="s">
        <v>58</v>
      </c>
      <c r="B110" s="2" t="s">
        <v>23</v>
      </c>
      <c r="C110" s="2" t="s">
        <v>11</v>
      </c>
      <c r="D110" s="2" t="s">
        <v>15</v>
      </c>
      <c r="E110" s="3">
        <v>1923.66</v>
      </c>
      <c r="F110" s="3">
        <v>9</v>
      </c>
      <c r="G110" s="6">
        <v>0.2</v>
      </c>
      <c r="H110" s="4">
        <v>45580</v>
      </c>
      <c r="I110" s="3">
        <v>769.46</v>
      </c>
      <c r="L110" s="2" t="s">
        <v>23</v>
      </c>
      <c r="M110" s="3">
        <v>1923.66</v>
      </c>
      <c r="O110" s="2">
        <f t="shared" si="3"/>
        <v>1538.9280000000001</v>
      </c>
      <c r="Q110" s="2">
        <f t="shared" si="4"/>
        <v>0.77928852877518162</v>
      </c>
      <c r="S110" s="10">
        <f t="shared" ca="1" si="5"/>
        <v>46044.478013310189</v>
      </c>
    </row>
    <row r="111" spans="1:19" x14ac:dyDescent="0.3">
      <c r="A111" s="2" t="s">
        <v>54</v>
      </c>
      <c r="B111" s="2" t="s">
        <v>66</v>
      </c>
      <c r="C111" s="2" t="s">
        <v>34</v>
      </c>
      <c r="D111" s="2" t="s">
        <v>15</v>
      </c>
      <c r="E111" s="3">
        <v>728.71</v>
      </c>
      <c r="F111" s="3">
        <v>14</v>
      </c>
      <c r="G111" s="6">
        <v>0.1</v>
      </c>
      <c r="H111" s="4">
        <v>45581</v>
      </c>
      <c r="I111" s="3">
        <v>327.92</v>
      </c>
      <c r="L111" s="2" t="s">
        <v>66</v>
      </c>
      <c r="M111" s="3">
        <v>728.71</v>
      </c>
      <c r="O111" s="2">
        <f t="shared" si="3"/>
        <v>655.83900000000006</v>
      </c>
      <c r="Q111" s="2">
        <f t="shared" si="4"/>
        <v>-0.62118565650894653</v>
      </c>
      <c r="S111" s="10">
        <f t="shared" ca="1" si="5"/>
        <v>46044.478013310189</v>
      </c>
    </row>
    <row r="112" spans="1:19" x14ac:dyDescent="0.3">
      <c r="A112" s="2" t="s">
        <v>9</v>
      </c>
      <c r="B112" s="2" t="s">
        <v>33</v>
      </c>
      <c r="C112" s="2" t="s">
        <v>34</v>
      </c>
      <c r="D112" s="2" t="s">
        <v>15</v>
      </c>
      <c r="E112" s="3">
        <v>1301.8900000000001</v>
      </c>
      <c r="F112" s="3">
        <v>7</v>
      </c>
      <c r="G112" s="6">
        <v>0.15</v>
      </c>
      <c r="H112" s="4">
        <v>45581</v>
      </c>
      <c r="I112" s="3">
        <v>553.29999999999995</v>
      </c>
      <c r="L112" s="2" t="s">
        <v>33</v>
      </c>
      <c r="M112" s="3">
        <v>1301.8900000000001</v>
      </c>
      <c r="O112" s="2">
        <f t="shared" si="3"/>
        <v>1106.6065000000001</v>
      </c>
      <c r="Q112" s="2">
        <f t="shared" si="4"/>
        <v>0.78656804490126397</v>
      </c>
      <c r="S112" s="10">
        <f t="shared" ca="1" si="5"/>
        <v>46044.478013310189</v>
      </c>
    </row>
    <row r="113" spans="1:19" x14ac:dyDescent="0.3">
      <c r="A113" s="2" t="s">
        <v>70</v>
      </c>
      <c r="B113" s="2" t="s">
        <v>66</v>
      </c>
      <c r="C113" s="2" t="s">
        <v>18</v>
      </c>
      <c r="D113" s="2" t="s">
        <v>12</v>
      </c>
      <c r="E113" s="3">
        <v>980.18</v>
      </c>
      <c r="F113" s="3">
        <v>16</v>
      </c>
      <c r="G113" s="6">
        <v>0.1</v>
      </c>
      <c r="H113" s="4">
        <v>45582</v>
      </c>
      <c r="I113" s="3">
        <v>352.86</v>
      </c>
      <c r="L113" s="2" t="s">
        <v>66</v>
      </c>
      <c r="M113" s="3">
        <v>980.18</v>
      </c>
      <c r="O113" s="2">
        <f t="shared" si="3"/>
        <v>882.16199999999992</v>
      </c>
      <c r="Q113" s="2">
        <f t="shared" si="4"/>
        <v>-0.24710997088847761</v>
      </c>
      <c r="S113" s="10">
        <f t="shared" ca="1" si="5"/>
        <v>46044.478013310189</v>
      </c>
    </row>
    <row r="114" spans="1:19" x14ac:dyDescent="0.3">
      <c r="A114" s="2" t="s">
        <v>74</v>
      </c>
      <c r="B114" s="2" t="s">
        <v>23</v>
      </c>
      <c r="C114" s="2" t="s">
        <v>11</v>
      </c>
      <c r="D114" s="2" t="s">
        <v>15</v>
      </c>
      <c r="E114" s="3">
        <v>697.57</v>
      </c>
      <c r="F114" s="3">
        <v>17</v>
      </c>
      <c r="G114" s="6">
        <v>0.1</v>
      </c>
      <c r="H114" s="4">
        <v>45584</v>
      </c>
      <c r="I114" s="3">
        <v>313.91000000000003</v>
      </c>
      <c r="L114" s="2" t="s">
        <v>23</v>
      </c>
      <c r="M114" s="3">
        <v>697.57</v>
      </c>
      <c r="O114" s="2">
        <f t="shared" si="3"/>
        <v>627.8130000000001</v>
      </c>
      <c r="Q114" s="2">
        <f t="shared" si="4"/>
        <v>-0.28832459344202077</v>
      </c>
      <c r="S114" s="10">
        <f t="shared" ca="1" si="5"/>
        <v>46044.478013310189</v>
      </c>
    </row>
    <row r="115" spans="1:19" x14ac:dyDescent="0.3">
      <c r="A115" s="2" t="s">
        <v>46</v>
      </c>
      <c r="B115" s="2" t="s">
        <v>71</v>
      </c>
      <c r="C115" s="2" t="s">
        <v>11</v>
      </c>
      <c r="D115" s="2" t="s">
        <v>27</v>
      </c>
      <c r="E115" s="3">
        <v>1193.6099999999999</v>
      </c>
      <c r="F115" s="3">
        <v>1</v>
      </c>
      <c r="G115" s="6">
        <v>0.15</v>
      </c>
      <c r="H115" s="4">
        <v>45584</v>
      </c>
      <c r="I115" s="3">
        <v>355.1</v>
      </c>
      <c r="L115" s="2" t="s">
        <v>71</v>
      </c>
      <c r="M115" s="3">
        <v>1193.6099999999999</v>
      </c>
      <c r="O115" s="2">
        <f t="shared" si="3"/>
        <v>1014.5684999999999</v>
      </c>
      <c r="Q115" s="2">
        <f t="shared" si="4"/>
        <v>0.71109709419843148</v>
      </c>
      <c r="S115" s="10">
        <f t="shared" ca="1" si="5"/>
        <v>46044.478013310189</v>
      </c>
    </row>
    <row r="116" spans="1:19" x14ac:dyDescent="0.3">
      <c r="A116" s="2" t="s">
        <v>32</v>
      </c>
      <c r="B116" s="2" t="s">
        <v>38</v>
      </c>
      <c r="C116" s="2" t="s">
        <v>20</v>
      </c>
      <c r="D116" s="2" t="s">
        <v>21</v>
      </c>
      <c r="E116" s="3">
        <v>771.02</v>
      </c>
      <c r="F116" s="3">
        <v>1</v>
      </c>
      <c r="G116" s="6">
        <v>0</v>
      </c>
      <c r="H116" s="4">
        <v>45585</v>
      </c>
      <c r="I116" s="3">
        <v>192.76</v>
      </c>
      <c r="L116" s="2" t="s">
        <v>38</v>
      </c>
      <c r="M116" s="3">
        <v>771.02</v>
      </c>
      <c r="O116" s="2">
        <f t="shared" si="3"/>
        <v>771.02</v>
      </c>
      <c r="Q116" s="2">
        <f t="shared" si="4"/>
        <v>-0.35404361558633052</v>
      </c>
      <c r="S116" s="10">
        <f t="shared" ca="1" si="5"/>
        <v>46044.478013310189</v>
      </c>
    </row>
    <row r="117" spans="1:19" x14ac:dyDescent="0.3">
      <c r="A117" s="2" t="s">
        <v>67</v>
      </c>
      <c r="B117" s="2" t="s">
        <v>69</v>
      </c>
      <c r="C117" s="2" t="s">
        <v>24</v>
      </c>
      <c r="D117" s="2" t="s">
        <v>15</v>
      </c>
      <c r="E117" s="3">
        <v>661.09</v>
      </c>
      <c r="F117" s="3">
        <v>1</v>
      </c>
      <c r="G117" s="6">
        <v>0.2</v>
      </c>
      <c r="H117" s="4">
        <v>45593</v>
      </c>
      <c r="I117" s="3">
        <v>264.44</v>
      </c>
      <c r="L117" s="2" t="s">
        <v>69</v>
      </c>
      <c r="M117" s="3">
        <v>661.09</v>
      </c>
      <c r="O117" s="2">
        <f t="shared" si="3"/>
        <v>528.87200000000007</v>
      </c>
      <c r="Q117" s="2">
        <f t="shared" si="4"/>
        <v>-0.1425773650488962</v>
      </c>
      <c r="S117" s="10">
        <f t="shared" ca="1" si="5"/>
        <v>46044.478013310189</v>
      </c>
    </row>
    <row r="118" spans="1:19" x14ac:dyDescent="0.3">
      <c r="A118" s="2" t="s">
        <v>13</v>
      </c>
      <c r="B118" s="2" t="s">
        <v>55</v>
      </c>
      <c r="C118" s="2" t="s">
        <v>11</v>
      </c>
      <c r="D118" s="2" t="s">
        <v>21</v>
      </c>
      <c r="E118" s="3">
        <v>688.83</v>
      </c>
      <c r="F118" s="3">
        <v>15</v>
      </c>
      <c r="G118" s="6">
        <v>0</v>
      </c>
      <c r="H118" s="4">
        <v>45595</v>
      </c>
      <c r="I118" s="3">
        <v>172.21</v>
      </c>
      <c r="L118" s="2" t="s">
        <v>55</v>
      </c>
      <c r="M118" s="3">
        <v>688.83</v>
      </c>
      <c r="O118" s="2">
        <f t="shared" si="3"/>
        <v>688.83</v>
      </c>
      <c r="Q118" s="2">
        <f t="shared" si="4"/>
        <v>4.1961003796759912E-2</v>
      </c>
      <c r="S118" s="10">
        <f t="shared" ca="1" si="5"/>
        <v>46044.478013310189</v>
      </c>
    </row>
    <row r="119" spans="1:19" x14ac:dyDescent="0.3">
      <c r="A119" s="2" t="s">
        <v>73</v>
      </c>
      <c r="B119" s="2" t="s">
        <v>29</v>
      </c>
      <c r="C119" s="2" t="s">
        <v>34</v>
      </c>
      <c r="D119" s="2" t="s">
        <v>12</v>
      </c>
      <c r="E119" s="3">
        <v>1249.0999999999999</v>
      </c>
      <c r="F119" s="3">
        <v>4</v>
      </c>
      <c r="G119" s="6">
        <v>0.05</v>
      </c>
      <c r="H119" s="4">
        <v>45597</v>
      </c>
      <c r="I119" s="3">
        <v>474.66</v>
      </c>
      <c r="L119" s="2" t="s">
        <v>29</v>
      </c>
      <c r="M119" s="3">
        <v>1249.0999999999999</v>
      </c>
      <c r="O119" s="2">
        <f t="shared" si="3"/>
        <v>1186.6449999999998</v>
      </c>
      <c r="Q119" s="2">
        <f t="shared" si="4"/>
        <v>0.81336469085260488</v>
      </c>
      <c r="S119" s="10">
        <f t="shared" ca="1" si="5"/>
        <v>46044.478013310189</v>
      </c>
    </row>
    <row r="120" spans="1:19" x14ac:dyDescent="0.3">
      <c r="A120" s="2" t="s">
        <v>44</v>
      </c>
      <c r="B120" s="2" t="s">
        <v>23</v>
      </c>
      <c r="C120" s="2" t="s">
        <v>18</v>
      </c>
      <c r="D120" s="2" t="s">
        <v>39</v>
      </c>
      <c r="E120" s="3">
        <v>1014.22</v>
      </c>
      <c r="F120" s="3">
        <v>14</v>
      </c>
      <c r="G120" s="6">
        <v>0.05</v>
      </c>
      <c r="H120" s="4">
        <v>45599</v>
      </c>
      <c r="I120" s="3">
        <v>433.58</v>
      </c>
      <c r="L120" s="2" t="s">
        <v>23</v>
      </c>
      <c r="M120" s="3">
        <v>1014.22</v>
      </c>
      <c r="O120" s="2">
        <f t="shared" si="3"/>
        <v>963.50900000000001</v>
      </c>
      <c r="Q120" s="2">
        <f t="shared" si="4"/>
        <v>-0.18803938835961884</v>
      </c>
      <c r="S120" s="10">
        <f t="shared" ca="1" si="5"/>
        <v>46044.478013310189</v>
      </c>
    </row>
    <row r="121" spans="1:19" x14ac:dyDescent="0.3">
      <c r="A121" s="2" t="s">
        <v>54</v>
      </c>
      <c r="B121" s="2" t="s">
        <v>48</v>
      </c>
      <c r="C121" s="2" t="s">
        <v>18</v>
      </c>
      <c r="D121" s="2" t="s">
        <v>12</v>
      </c>
      <c r="E121" s="3">
        <v>1010.58</v>
      </c>
      <c r="F121" s="3">
        <v>2</v>
      </c>
      <c r="G121" s="6">
        <v>0.15</v>
      </c>
      <c r="H121" s="4">
        <v>45605</v>
      </c>
      <c r="I121" s="3">
        <v>343.6</v>
      </c>
      <c r="L121" s="2" t="s">
        <v>48</v>
      </c>
      <c r="M121" s="3">
        <v>1010.58</v>
      </c>
      <c r="O121" s="2">
        <f t="shared" si="3"/>
        <v>858.99300000000005</v>
      </c>
      <c r="Q121" s="2">
        <f t="shared" si="4"/>
        <v>-3.5889649188538841E-3</v>
      </c>
      <c r="S121" s="10">
        <f t="shared" ca="1" si="5"/>
        <v>46044.478013310189</v>
      </c>
    </row>
    <row r="122" spans="1:19" x14ac:dyDescent="0.3">
      <c r="A122" s="2" t="s">
        <v>30</v>
      </c>
      <c r="B122" s="2" t="s">
        <v>59</v>
      </c>
      <c r="C122" s="2" t="s">
        <v>24</v>
      </c>
      <c r="D122" s="2" t="s">
        <v>27</v>
      </c>
      <c r="E122" s="3">
        <v>957.29</v>
      </c>
      <c r="F122" s="3">
        <v>4</v>
      </c>
      <c r="G122" s="6">
        <v>0.05</v>
      </c>
      <c r="H122" s="4">
        <v>45605</v>
      </c>
      <c r="I122" s="3">
        <v>318.3</v>
      </c>
      <c r="L122" s="2" t="s">
        <v>59</v>
      </c>
      <c r="M122" s="3">
        <v>957.29</v>
      </c>
      <c r="O122" s="2">
        <f t="shared" si="3"/>
        <v>909.42549999999994</v>
      </c>
      <c r="Q122" s="2">
        <f t="shared" si="4"/>
        <v>-5.2732094440816238E-2</v>
      </c>
      <c r="S122" s="10">
        <f t="shared" ca="1" si="5"/>
        <v>46044.478013310189</v>
      </c>
    </row>
    <row r="123" spans="1:19" x14ac:dyDescent="0.3">
      <c r="A123" s="2" t="s">
        <v>28</v>
      </c>
      <c r="B123" s="2" t="s">
        <v>45</v>
      </c>
      <c r="C123" s="2" t="s">
        <v>24</v>
      </c>
      <c r="D123" s="2" t="s">
        <v>27</v>
      </c>
      <c r="E123" s="3">
        <v>1077.92</v>
      </c>
      <c r="F123" s="3">
        <v>3</v>
      </c>
      <c r="G123" s="6">
        <v>0.05</v>
      </c>
      <c r="H123" s="4">
        <v>45608</v>
      </c>
      <c r="I123" s="3">
        <v>358.41</v>
      </c>
      <c r="L123" s="2" t="s">
        <v>45</v>
      </c>
      <c r="M123" s="3">
        <v>1077.92</v>
      </c>
      <c r="O123" s="2">
        <f t="shared" si="3"/>
        <v>1024.0240000000001</v>
      </c>
      <c r="Q123" s="2">
        <f t="shared" si="4"/>
        <v>0.12601197129396538</v>
      </c>
      <c r="S123" s="10">
        <f t="shared" ca="1" si="5"/>
        <v>46044.478013310189</v>
      </c>
    </row>
    <row r="124" spans="1:19" x14ac:dyDescent="0.3">
      <c r="A124" s="2" t="s">
        <v>52</v>
      </c>
      <c r="B124" s="2" t="s">
        <v>50</v>
      </c>
      <c r="C124" s="2" t="s">
        <v>20</v>
      </c>
      <c r="D124" s="2" t="s">
        <v>15</v>
      </c>
      <c r="E124" s="3">
        <v>1163.01</v>
      </c>
      <c r="F124" s="3">
        <v>5</v>
      </c>
      <c r="G124" s="6">
        <v>0</v>
      </c>
      <c r="H124" s="4">
        <v>45611</v>
      </c>
      <c r="I124" s="3">
        <v>581.5</v>
      </c>
      <c r="L124" s="2" t="s">
        <v>50</v>
      </c>
      <c r="M124" s="3">
        <v>1163.01</v>
      </c>
      <c r="O124" s="2">
        <f t="shared" si="3"/>
        <v>1163.01</v>
      </c>
      <c r="Q124" s="2">
        <f t="shared" si="4"/>
        <v>7.8939067834347551E-2</v>
      </c>
      <c r="S124" s="10">
        <f t="shared" ca="1" si="5"/>
        <v>46044.478013310189</v>
      </c>
    </row>
    <row r="125" spans="1:19" x14ac:dyDescent="0.3">
      <c r="A125" s="2" t="s">
        <v>54</v>
      </c>
      <c r="B125" s="2" t="s">
        <v>45</v>
      </c>
      <c r="C125" s="2" t="s">
        <v>18</v>
      </c>
      <c r="D125" s="2" t="s">
        <v>39</v>
      </c>
      <c r="E125" s="3">
        <v>1014.56</v>
      </c>
      <c r="F125" s="3">
        <v>10</v>
      </c>
      <c r="G125" s="6">
        <v>0.1</v>
      </c>
      <c r="H125" s="4">
        <v>45612</v>
      </c>
      <c r="I125" s="3">
        <v>410.9</v>
      </c>
      <c r="L125" s="2" t="s">
        <v>45</v>
      </c>
      <c r="M125" s="3">
        <v>1014.56</v>
      </c>
      <c r="O125" s="2">
        <f t="shared" si="3"/>
        <v>913.10399999999993</v>
      </c>
      <c r="Q125" s="2">
        <f t="shared" si="4"/>
        <v>-0.12764292654405382</v>
      </c>
      <c r="S125" s="10">
        <f t="shared" ca="1" si="5"/>
        <v>46044.478013310189</v>
      </c>
    </row>
    <row r="126" spans="1:19" x14ac:dyDescent="0.3">
      <c r="A126" s="2" t="s">
        <v>9</v>
      </c>
      <c r="B126" s="2" t="s">
        <v>17</v>
      </c>
      <c r="C126" s="2" t="s">
        <v>20</v>
      </c>
      <c r="D126" s="2" t="s">
        <v>21</v>
      </c>
      <c r="E126" s="3">
        <v>718.04</v>
      </c>
      <c r="F126" s="3">
        <v>14</v>
      </c>
      <c r="G126" s="6">
        <v>0</v>
      </c>
      <c r="H126" s="4">
        <v>45613</v>
      </c>
      <c r="I126" s="3">
        <v>179.51</v>
      </c>
      <c r="L126" s="2" t="s">
        <v>17</v>
      </c>
      <c r="M126" s="3">
        <v>718.04</v>
      </c>
      <c r="O126" s="2">
        <f t="shared" si="3"/>
        <v>718.04</v>
      </c>
      <c r="Q126" s="2">
        <f t="shared" si="4"/>
        <v>-0.29226462703043682</v>
      </c>
      <c r="S126" s="10">
        <f t="shared" ca="1" si="5"/>
        <v>46044.478013310189</v>
      </c>
    </row>
    <row r="127" spans="1:19" x14ac:dyDescent="0.3">
      <c r="A127" s="2" t="s">
        <v>72</v>
      </c>
      <c r="B127" s="2" t="s">
        <v>17</v>
      </c>
      <c r="C127" s="2" t="s">
        <v>34</v>
      </c>
      <c r="D127" s="2" t="s">
        <v>15</v>
      </c>
      <c r="E127" s="3">
        <v>1277.8499999999999</v>
      </c>
      <c r="F127" s="3">
        <v>18</v>
      </c>
      <c r="G127" s="6">
        <v>0.2</v>
      </c>
      <c r="H127" s="4">
        <v>45613</v>
      </c>
      <c r="I127" s="3">
        <v>511.14</v>
      </c>
      <c r="L127" s="2" t="s">
        <v>17</v>
      </c>
      <c r="M127" s="3">
        <v>1277.8499999999999</v>
      </c>
      <c r="O127" s="2">
        <f t="shared" si="3"/>
        <v>1022.28</v>
      </c>
      <c r="Q127" s="2">
        <f t="shared" si="4"/>
        <v>0.77963623196479304</v>
      </c>
      <c r="S127" s="10">
        <f t="shared" ca="1" si="5"/>
        <v>46044.478013310189</v>
      </c>
    </row>
    <row r="128" spans="1:19" x14ac:dyDescent="0.3">
      <c r="A128" s="2" t="s">
        <v>70</v>
      </c>
      <c r="B128" s="2" t="s">
        <v>23</v>
      </c>
      <c r="C128" s="2" t="s">
        <v>24</v>
      </c>
      <c r="D128" s="2" t="s">
        <v>21</v>
      </c>
      <c r="E128" s="3">
        <v>706.73</v>
      </c>
      <c r="F128" s="3">
        <v>1</v>
      </c>
      <c r="G128" s="6">
        <v>0.15</v>
      </c>
      <c r="H128" s="4">
        <v>45613</v>
      </c>
      <c r="I128" s="3">
        <v>150.18</v>
      </c>
      <c r="L128" s="2" t="s">
        <v>23</v>
      </c>
      <c r="M128" s="3">
        <v>706.73</v>
      </c>
      <c r="O128" s="2">
        <f t="shared" si="3"/>
        <v>600.72050000000002</v>
      </c>
      <c r="Q128" s="2">
        <f t="shared" si="4"/>
        <v>-0.44693821653558707</v>
      </c>
      <c r="S128" s="10">
        <f t="shared" ca="1" si="5"/>
        <v>46044.478013310189</v>
      </c>
    </row>
    <row r="129" spans="1:19" x14ac:dyDescent="0.3">
      <c r="A129" s="2" t="s">
        <v>65</v>
      </c>
      <c r="B129" s="2" t="s">
        <v>50</v>
      </c>
      <c r="C129" s="2" t="s">
        <v>18</v>
      </c>
      <c r="D129" s="2" t="s">
        <v>21</v>
      </c>
      <c r="E129" s="3">
        <v>1410.59</v>
      </c>
      <c r="F129" s="3">
        <v>15</v>
      </c>
      <c r="G129" s="6">
        <v>0</v>
      </c>
      <c r="H129" s="4">
        <v>45615</v>
      </c>
      <c r="I129" s="3">
        <v>352.65</v>
      </c>
      <c r="L129" s="2" t="s">
        <v>50</v>
      </c>
      <c r="M129" s="3">
        <v>1410.59</v>
      </c>
      <c r="O129" s="2">
        <f t="shared" si="3"/>
        <v>1410.59</v>
      </c>
      <c r="Q129" s="2">
        <f t="shared" si="4"/>
        <v>0.99593904319895843</v>
      </c>
      <c r="S129" s="10">
        <f t="shared" ca="1" si="5"/>
        <v>46044.478013310189</v>
      </c>
    </row>
    <row r="130" spans="1:19" x14ac:dyDescent="0.3">
      <c r="A130" s="2" t="s">
        <v>32</v>
      </c>
      <c r="B130" s="2" t="s">
        <v>61</v>
      </c>
      <c r="C130" s="2" t="s">
        <v>20</v>
      </c>
      <c r="D130" s="2" t="s">
        <v>27</v>
      </c>
      <c r="E130" s="3">
        <v>1350.33</v>
      </c>
      <c r="F130" s="3">
        <v>10</v>
      </c>
      <c r="G130" s="6">
        <v>0</v>
      </c>
      <c r="H130" s="4">
        <v>45615</v>
      </c>
      <c r="I130" s="3">
        <v>472.62</v>
      </c>
      <c r="L130" s="2" t="s">
        <v>61</v>
      </c>
      <c r="M130" s="3">
        <v>1350.33</v>
      </c>
      <c r="O130" s="2">
        <f t="shared" si="3"/>
        <v>1350.33</v>
      </c>
      <c r="Q130" s="2">
        <f t="shared" si="4"/>
        <v>-4.2719713027881946E-2</v>
      </c>
      <c r="S130" s="10">
        <f t="shared" ca="1" si="5"/>
        <v>46044.478013310189</v>
      </c>
    </row>
    <row r="131" spans="1:19" x14ac:dyDescent="0.3">
      <c r="A131" s="2" t="s">
        <v>41</v>
      </c>
      <c r="B131" s="2" t="s">
        <v>45</v>
      </c>
      <c r="C131" s="2" t="s">
        <v>18</v>
      </c>
      <c r="D131" s="2" t="s">
        <v>21</v>
      </c>
      <c r="E131" s="3">
        <v>919.18</v>
      </c>
      <c r="F131" s="3">
        <v>4</v>
      </c>
      <c r="G131" s="6">
        <v>0.15</v>
      </c>
      <c r="H131" s="4">
        <v>45615</v>
      </c>
      <c r="I131" s="3">
        <v>195.33</v>
      </c>
      <c r="L131" s="2" t="s">
        <v>45</v>
      </c>
      <c r="M131" s="3">
        <v>919.18</v>
      </c>
      <c r="O131" s="2">
        <f t="shared" si="3"/>
        <v>781.30299999999988</v>
      </c>
      <c r="Q131" s="2">
        <f t="shared" si="4"/>
        <v>-0.31929232113631484</v>
      </c>
      <c r="S131" s="10">
        <f t="shared" ca="1" si="5"/>
        <v>46044.478013310189</v>
      </c>
    </row>
    <row r="132" spans="1:19" x14ac:dyDescent="0.3">
      <c r="A132" s="2" t="s">
        <v>74</v>
      </c>
      <c r="B132" s="2" t="s">
        <v>23</v>
      </c>
      <c r="C132" s="2" t="s">
        <v>11</v>
      </c>
      <c r="D132" s="2" t="s">
        <v>21</v>
      </c>
      <c r="E132" s="3">
        <v>258.51</v>
      </c>
      <c r="F132" s="3">
        <v>19</v>
      </c>
      <c r="G132" s="6">
        <v>0</v>
      </c>
      <c r="H132" s="4">
        <v>45616</v>
      </c>
      <c r="I132" s="3">
        <v>64.63</v>
      </c>
      <c r="L132" s="2" t="s">
        <v>23</v>
      </c>
      <c r="M132" s="3">
        <v>258.51</v>
      </c>
      <c r="O132" s="2">
        <f t="shared" ref="O132:O195" si="6">E132*(1-G132)</f>
        <v>258.51</v>
      </c>
      <c r="Q132" s="2">
        <f t="shared" ref="Q132:Q195" si="7">(E132-E131)/E131</f>
        <v>-0.71876019930807888</v>
      </c>
      <c r="S132" s="10">
        <f t="shared" ref="S132:S195" ca="1" si="8">NOW()</f>
        <v>46044.478013310189</v>
      </c>
    </row>
    <row r="133" spans="1:19" x14ac:dyDescent="0.3">
      <c r="A133" s="2" t="s">
        <v>63</v>
      </c>
      <c r="B133" s="2" t="s">
        <v>61</v>
      </c>
      <c r="C133" s="2" t="s">
        <v>18</v>
      </c>
      <c r="D133" s="2" t="s">
        <v>12</v>
      </c>
      <c r="E133" s="3">
        <v>1213.48</v>
      </c>
      <c r="F133" s="3">
        <v>5</v>
      </c>
      <c r="G133" s="6">
        <v>0.05</v>
      </c>
      <c r="H133" s="4">
        <v>45616</v>
      </c>
      <c r="I133" s="3">
        <v>461.12</v>
      </c>
      <c r="L133" s="2" t="s">
        <v>61</v>
      </c>
      <c r="M133" s="3">
        <v>1213.48</v>
      </c>
      <c r="O133" s="2">
        <f t="shared" si="6"/>
        <v>1152.806</v>
      </c>
      <c r="Q133" s="2">
        <f t="shared" si="7"/>
        <v>3.6941317550578319</v>
      </c>
      <c r="S133" s="10">
        <f t="shared" ca="1" si="8"/>
        <v>46044.478013310189</v>
      </c>
    </row>
    <row r="134" spans="1:19" x14ac:dyDescent="0.3">
      <c r="A134" s="2" t="s">
        <v>57</v>
      </c>
      <c r="B134" s="2" t="s">
        <v>38</v>
      </c>
      <c r="C134" s="2" t="s">
        <v>34</v>
      </c>
      <c r="D134" s="2" t="s">
        <v>12</v>
      </c>
      <c r="E134" s="3">
        <v>1150.28</v>
      </c>
      <c r="F134" s="3">
        <v>8</v>
      </c>
      <c r="G134" s="6">
        <v>0.05</v>
      </c>
      <c r="H134" s="4">
        <v>45622</v>
      </c>
      <c r="I134" s="3">
        <v>437.11</v>
      </c>
      <c r="L134" s="2" t="s">
        <v>38</v>
      </c>
      <c r="M134" s="3">
        <v>1150.28</v>
      </c>
      <c r="O134" s="2">
        <f t="shared" si="6"/>
        <v>1092.7659999999998</v>
      </c>
      <c r="Q134" s="2">
        <f t="shared" si="7"/>
        <v>-5.2081616507894689E-2</v>
      </c>
      <c r="S134" s="10">
        <f t="shared" ca="1" si="8"/>
        <v>46044.478013310189</v>
      </c>
    </row>
    <row r="135" spans="1:19" x14ac:dyDescent="0.3">
      <c r="A135" s="2" t="s">
        <v>37</v>
      </c>
      <c r="B135" s="2" t="s">
        <v>71</v>
      </c>
      <c r="C135" s="2" t="s">
        <v>20</v>
      </c>
      <c r="D135" s="2" t="s">
        <v>27</v>
      </c>
      <c r="E135" s="3">
        <v>853.86</v>
      </c>
      <c r="F135" s="3">
        <v>8</v>
      </c>
      <c r="G135" s="6">
        <v>0.1</v>
      </c>
      <c r="H135" s="4">
        <v>45622</v>
      </c>
      <c r="I135" s="3">
        <v>268.97000000000003</v>
      </c>
      <c r="L135" s="2" t="s">
        <v>71</v>
      </c>
      <c r="M135" s="3">
        <v>853.86</v>
      </c>
      <c r="O135" s="2">
        <f t="shared" si="6"/>
        <v>768.47400000000005</v>
      </c>
      <c r="Q135" s="2">
        <f t="shared" si="7"/>
        <v>-0.25769377890600548</v>
      </c>
      <c r="S135" s="10">
        <f t="shared" ca="1" si="8"/>
        <v>46044.478013310189</v>
      </c>
    </row>
    <row r="136" spans="1:19" x14ac:dyDescent="0.3">
      <c r="A136" s="2" t="s">
        <v>75</v>
      </c>
      <c r="B136" s="2" t="s">
        <v>45</v>
      </c>
      <c r="C136" s="2" t="s">
        <v>20</v>
      </c>
      <c r="D136" s="2" t="s">
        <v>21</v>
      </c>
      <c r="E136" s="3">
        <v>1061.04</v>
      </c>
      <c r="F136" s="3">
        <v>1</v>
      </c>
      <c r="G136" s="6">
        <v>0</v>
      </c>
      <c r="H136" s="4">
        <v>45624</v>
      </c>
      <c r="I136" s="3">
        <v>265.26</v>
      </c>
      <c r="L136" s="2" t="s">
        <v>45</v>
      </c>
      <c r="M136" s="3">
        <v>1061.04</v>
      </c>
      <c r="O136" s="2">
        <f t="shared" si="6"/>
        <v>1061.04</v>
      </c>
      <c r="Q136" s="2">
        <f t="shared" si="7"/>
        <v>0.24263930855175314</v>
      </c>
      <c r="S136" s="10">
        <f t="shared" ca="1" si="8"/>
        <v>46044.478013310189</v>
      </c>
    </row>
    <row r="137" spans="1:19" x14ac:dyDescent="0.3">
      <c r="A137" s="2" t="s">
        <v>28</v>
      </c>
      <c r="B137" s="2" t="s">
        <v>43</v>
      </c>
      <c r="C137" s="2" t="s">
        <v>11</v>
      </c>
      <c r="D137" s="2" t="s">
        <v>21</v>
      </c>
      <c r="E137" s="3">
        <v>894.55</v>
      </c>
      <c r="F137" s="3">
        <v>19</v>
      </c>
      <c r="G137" s="6">
        <v>0.2</v>
      </c>
      <c r="H137" s="4">
        <v>45625</v>
      </c>
      <c r="I137" s="3">
        <v>178.91</v>
      </c>
      <c r="L137" s="2" t="s">
        <v>43</v>
      </c>
      <c r="M137" s="3">
        <v>894.55</v>
      </c>
      <c r="O137" s="2">
        <f t="shared" si="6"/>
        <v>715.64</v>
      </c>
      <c r="Q137" s="2">
        <f t="shared" si="7"/>
        <v>-0.15691208625499511</v>
      </c>
      <c r="S137" s="10">
        <f t="shared" ca="1" si="8"/>
        <v>46044.478013310189</v>
      </c>
    </row>
    <row r="138" spans="1:19" x14ac:dyDescent="0.3">
      <c r="A138" s="2" t="s">
        <v>25</v>
      </c>
      <c r="B138" s="2" t="s">
        <v>38</v>
      </c>
      <c r="C138" s="2" t="s">
        <v>24</v>
      </c>
      <c r="D138" s="2" t="s">
        <v>39</v>
      </c>
      <c r="E138" s="3">
        <v>833.91</v>
      </c>
      <c r="F138" s="3">
        <v>3</v>
      </c>
      <c r="G138" s="6">
        <v>0.05</v>
      </c>
      <c r="H138" s="4">
        <v>45626</v>
      </c>
      <c r="I138" s="3">
        <v>356.5</v>
      </c>
      <c r="L138" s="2" t="s">
        <v>38</v>
      </c>
      <c r="M138" s="3">
        <v>833.91</v>
      </c>
      <c r="O138" s="2">
        <f t="shared" si="6"/>
        <v>792.21449999999993</v>
      </c>
      <c r="Q138" s="2">
        <f t="shared" si="7"/>
        <v>-6.778827343356994E-2</v>
      </c>
      <c r="S138" s="10">
        <f t="shared" ca="1" si="8"/>
        <v>46044.478013310189</v>
      </c>
    </row>
    <row r="139" spans="1:19" x14ac:dyDescent="0.3">
      <c r="A139" s="2" t="s">
        <v>58</v>
      </c>
      <c r="B139" s="2" t="s">
        <v>71</v>
      </c>
      <c r="C139" s="2" t="s">
        <v>11</v>
      </c>
      <c r="D139" s="2" t="s">
        <v>27</v>
      </c>
      <c r="E139" s="3">
        <v>820.19</v>
      </c>
      <c r="F139" s="3">
        <v>4</v>
      </c>
      <c r="G139" s="6">
        <v>0.2</v>
      </c>
      <c r="H139" s="4">
        <v>45630</v>
      </c>
      <c r="I139" s="3">
        <v>229.65</v>
      </c>
      <c r="L139" s="2" t="s">
        <v>71</v>
      </c>
      <c r="M139" s="3">
        <v>820.19</v>
      </c>
      <c r="O139" s="2">
        <f t="shared" si="6"/>
        <v>656.15200000000004</v>
      </c>
      <c r="Q139" s="2">
        <f t="shared" si="7"/>
        <v>-1.6452614790564826E-2</v>
      </c>
      <c r="S139" s="10">
        <f t="shared" ca="1" si="8"/>
        <v>46044.478013310189</v>
      </c>
    </row>
    <row r="140" spans="1:19" x14ac:dyDescent="0.3">
      <c r="A140" s="2" t="s">
        <v>58</v>
      </c>
      <c r="B140" s="2" t="s">
        <v>38</v>
      </c>
      <c r="C140" s="2" t="s">
        <v>34</v>
      </c>
      <c r="D140" s="2" t="s">
        <v>21</v>
      </c>
      <c r="E140" s="3">
        <v>511.74</v>
      </c>
      <c r="F140" s="3">
        <v>8</v>
      </c>
      <c r="G140" s="6">
        <v>0.05</v>
      </c>
      <c r="H140" s="4">
        <v>45631</v>
      </c>
      <c r="I140" s="3">
        <v>121.54</v>
      </c>
      <c r="L140" s="2" t="s">
        <v>38</v>
      </c>
      <c r="M140" s="3">
        <v>511.74</v>
      </c>
      <c r="O140" s="2">
        <f t="shared" si="6"/>
        <v>486.15299999999996</v>
      </c>
      <c r="Q140" s="2">
        <f t="shared" si="7"/>
        <v>-0.37607139809068635</v>
      </c>
      <c r="S140" s="10">
        <f t="shared" ca="1" si="8"/>
        <v>46044.478013310189</v>
      </c>
    </row>
    <row r="141" spans="1:19" x14ac:dyDescent="0.3">
      <c r="A141" s="2" t="s">
        <v>65</v>
      </c>
      <c r="B141" s="2" t="s">
        <v>61</v>
      </c>
      <c r="C141" s="2" t="s">
        <v>20</v>
      </c>
      <c r="D141" s="2" t="s">
        <v>27</v>
      </c>
      <c r="E141" s="3">
        <v>806.03</v>
      </c>
      <c r="F141" s="3">
        <v>19</v>
      </c>
      <c r="G141" s="6">
        <v>0.05</v>
      </c>
      <c r="H141" s="4">
        <v>45638</v>
      </c>
      <c r="I141" s="3">
        <v>268</v>
      </c>
      <c r="L141" s="2" t="s">
        <v>61</v>
      </c>
      <c r="M141" s="3">
        <v>806.03</v>
      </c>
      <c r="O141" s="2">
        <f t="shared" si="6"/>
        <v>765.72849999999994</v>
      </c>
      <c r="Q141" s="2">
        <f t="shared" si="7"/>
        <v>0.57507718763434545</v>
      </c>
      <c r="S141" s="10">
        <f t="shared" ca="1" si="8"/>
        <v>46044.478013310189</v>
      </c>
    </row>
    <row r="142" spans="1:19" x14ac:dyDescent="0.3">
      <c r="A142" s="2" t="s">
        <v>28</v>
      </c>
      <c r="B142" s="2" t="s">
        <v>26</v>
      </c>
      <c r="C142" s="2" t="s">
        <v>34</v>
      </c>
      <c r="D142" s="2" t="s">
        <v>27</v>
      </c>
      <c r="E142" s="3">
        <v>1432.47</v>
      </c>
      <c r="F142" s="3">
        <v>16</v>
      </c>
      <c r="G142" s="6">
        <v>0.15</v>
      </c>
      <c r="H142" s="4">
        <v>45640</v>
      </c>
      <c r="I142" s="3">
        <v>426.16</v>
      </c>
      <c r="L142" s="2" t="s">
        <v>26</v>
      </c>
      <c r="M142" s="3">
        <v>1432.47</v>
      </c>
      <c r="O142" s="2">
        <f t="shared" si="6"/>
        <v>1217.5995</v>
      </c>
      <c r="Q142" s="2">
        <f t="shared" si="7"/>
        <v>0.77719191593365022</v>
      </c>
      <c r="S142" s="10">
        <f t="shared" ca="1" si="8"/>
        <v>46044.478013310189</v>
      </c>
    </row>
    <row r="143" spans="1:19" x14ac:dyDescent="0.3">
      <c r="A143" s="2" t="s">
        <v>74</v>
      </c>
      <c r="B143" s="2" t="s">
        <v>29</v>
      </c>
      <c r="C143" s="2" t="s">
        <v>34</v>
      </c>
      <c r="D143" s="2" t="s">
        <v>21</v>
      </c>
      <c r="E143" s="3">
        <v>1488.58</v>
      </c>
      <c r="F143" s="3">
        <v>10</v>
      </c>
      <c r="G143" s="6">
        <v>0.15</v>
      </c>
      <c r="H143" s="4">
        <v>45640</v>
      </c>
      <c r="I143" s="3">
        <v>316.32</v>
      </c>
      <c r="L143" s="2" t="s">
        <v>29</v>
      </c>
      <c r="M143" s="3">
        <v>1488.58</v>
      </c>
      <c r="O143" s="2">
        <f t="shared" si="6"/>
        <v>1265.2929999999999</v>
      </c>
      <c r="Q143" s="2">
        <f t="shared" si="7"/>
        <v>3.9170104784044271E-2</v>
      </c>
      <c r="S143" s="10">
        <f t="shared" ca="1" si="8"/>
        <v>46044.478013310189</v>
      </c>
    </row>
    <row r="144" spans="1:19" x14ac:dyDescent="0.3">
      <c r="A144" s="2" t="s">
        <v>30</v>
      </c>
      <c r="B144" s="2" t="s">
        <v>66</v>
      </c>
      <c r="C144" s="2" t="s">
        <v>18</v>
      </c>
      <c r="D144" s="2" t="s">
        <v>12</v>
      </c>
      <c r="E144" s="3">
        <v>1231.26</v>
      </c>
      <c r="F144" s="3">
        <v>9</v>
      </c>
      <c r="G144" s="6">
        <v>0</v>
      </c>
      <c r="H144" s="4">
        <v>45646</v>
      </c>
      <c r="I144" s="3">
        <v>492.5</v>
      </c>
      <c r="L144" s="2" t="s">
        <v>66</v>
      </c>
      <c r="M144" s="3">
        <v>1231.26</v>
      </c>
      <c r="O144" s="2">
        <f t="shared" si="6"/>
        <v>1231.26</v>
      </c>
      <c r="Q144" s="2">
        <f t="shared" si="7"/>
        <v>-0.17286272823764928</v>
      </c>
      <c r="S144" s="10">
        <f t="shared" ca="1" si="8"/>
        <v>46044.478013310189</v>
      </c>
    </row>
    <row r="145" spans="1:19" x14ac:dyDescent="0.3">
      <c r="A145" s="2" t="s">
        <v>30</v>
      </c>
      <c r="B145" s="2" t="s">
        <v>43</v>
      </c>
      <c r="C145" s="2" t="s">
        <v>11</v>
      </c>
      <c r="D145" s="2" t="s">
        <v>21</v>
      </c>
      <c r="E145" s="3">
        <v>1161.67</v>
      </c>
      <c r="F145" s="3">
        <v>19</v>
      </c>
      <c r="G145" s="6">
        <v>0.2</v>
      </c>
      <c r="H145" s="4">
        <v>45647</v>
      </c>
      <c r="I145" s="3">
        <v>232.33</v>
      </c>
      <c r="L145" s="2" t="s">
        <v>43</v>
      </c>
      <c r="M145" s="3">
        <v>1161.67</v>
      </c>
      <c r="O145" s="2">
        <f t="shared" si="6"/>
        <v>929.33600000000013</v>
      </c>
      <c r="Q145" s="2">
        <f t="shared" si="7"/>
        <v>-5.651933791400672E-2</v>
      </c>
      <c r="S145" s="10">
        <f t="shared" ca="1" si="8"/>
        <v>46044.478013310189</v>
      </c>
    </row>
    <row r="146" spans="1:19" x14ac:dyDescent="0.3">
      <c r="A146" s="2" t="s">
        <v>49</v>
      </c>
      <c r="B146" s="2" t="s">
        <v>45</v>
      </c>
      <c r="C146" s="2" t="s">
        <v>34</v>
      </c>
      <c r="D146" s="2" t="s">
        <v>39</v>
      </c>
      <c r="E146" s="3">
        <v>388.23</v>
      </c>
      <c r="F146" s="3">
        <v>16</v>
      </c>
      <c r="G146" s="6">
        <v>0.05</v>
      </c>
      <c r="H146" s="4">
        <v>45650</v>
      </c>
      <c r="I146" s="3">
        <v>165.97</v>
      </c>
      <c r="L146" s="2" t="s">
        <v>45</v>
      </c>
      <c r="M146" s="3">
        <v>388.23</v>
      </c>
      <c r="O146" s="2">
        <f t="shared" si="6"/>
        <v>368.81849999999997</v>
      </c>
      <c r="Q146" s="2">
        <f t="shared" si="7"/>
        <v>-0.66580009813458207</v>
      </c>
      <c r="S146" s="10">
        <f t="shared" ca="1" si="8"/>
        <v>46044.478013310189</v>
      </c>
    </row>
    <row r="147" spans="1:19" x14ac:dyDescent="0.3">
      <c r="A147" s="2" t="s">
        <v>72</v>
      </c>
      <c r="B147" s="2" t="s">
        <v>31</v>
      </c>
      <c r="C147" s="2" t="s">
        <v>24</v>
      </c>
      <c r="D147" s="2" t="s">
        <v>15</v>
      </c>
      <c r="E147" s="3">
        <v>1589.42</v>
      </c>
      <c r="F147" s="3">
        <v>6</v>
      </c>
      <c r="G147" s="6">
        <v>0.15</v>
      </c>
      <c r="H147" s="4">
        <v>45651</v>
      </c>
      <c r="I147" s="3">
        <v>675.5</v>
      </c>
      <c r="L147" s="2" t="s">
        <v>31</v>
      </c>
      <c r="M147" s="3">
        <v>1589.42</v>
      </c>
      <c r="O147" s="2">
        <f t="shared" si="6"/>
        <v>1351.0070000000001</v>
      </c>
      <c r="Q147" s="2">
        <f t="shared" si="7"/>
        <v>3.0940164335574272</v>
      </c>
      <c r="S147" s="10">
        <f t="shared" ca="1" si="8"/>
        <v>46044.478013310189</v>
      </c>
    </row>
    <row r="148" spans="1:19" x14ac:dyDescent="0.3">
      <c r="A148" s="2" t="s">
        <v>28</v>
      </c>
      <c r="B148" s="2" t="s">
        <v>71</v>
      </c>
      <c r="C148" s="2" t="s">
        <v>24</v>
      </c>
      <c r="D148" s="2" t="s">
        <v>15</v>
      </c>
      <c r="E148" s="3">
        <v>336.66</v>
      </c>
      <c r="F148" s="3">
        <v>13</v>
      </c>
      <c r="G148" s="6">
        <v>0.2</v>
      </c>
      <c r="H148" s="4">
        <v>45651</v>
      </c>
      <c r="I148" s="3">
        <v>134.66</v>
      </c>
      <c r="L148" s="2" t="s">
        <v>71</v>
      </c>
      <c r="M148" s="3">
        <v>336.66</v>
      </c>
      <c r="O148" s="2">
        <f t="shared" si="6"/>
        <v>269.32800000000003</v>
      </c>
      <c r="Q148" s="2">
        <f t="shared" si="7"/>
        <v>-0.78818688578223495</v>
      </c>
      <c r="S148" s="10">
        <f t="shared" ca="1" si="8"/>
        <v>46044.478013310189</v>
      </c>
    </row>
    <row r="149" spans="1:19" x14ac:dyDescent="0.3">
      <c r="A149" s="2" t="s">
        <v>49</v>
      </c>
      <c r="B149" s="2" t="s">
        <v>23</v>
      </c>
      <c r="C149" s="2" t="s">
        <v>11</v>
      </c>
      <c r="D149" s="2" t="s">
        <v>12</v>
      </c>
      <c r="E149" s="3">
        <v>1353.79</v>
      </c>
      <c r="F149" s="3">
        <v>14</v>
      </c>
      <c r="G149" s="6">
        <v>0.1</v>
      </c>
      <c r="H149" s="4">
        <v>45656</v>
      </c>
      <c r="I149" s="3">
        <v>487.36</v>
      </c>
      <c r="L149" s="2" t="s">
        <v>23</v>
      </c>
      <c r="M149" s="3">
        <v>1353.79</v>
      </c>
      <c r="O149" s="2">
        <f t="shared" si="6"/>
        <v>1218.4110000000001</v>
      </c>
      <c r="Q149" s="2">
        <f t="shared" si="7"/>
        <v>3.0212380443177085</v>
      </c>
      <c r="S149" s="10">
        <f t="shared" ca="1" si="8"/>
        <v>46044.478013310189</v>
      </c>
    </row>
    <row r="150" spans="1:19" x14ac:dyDescent="0.3">
      <c r="A150" s="2" t="s">
        <v>63</v>
      </c>
      <c r="B150" s="2" t="s">
        <v>69</v>
      </c>
      <c r="C150" s="2" t="s">
        <v>34</v>
      </c>
      <c r="D150" s="2" t="s">
        <v>15</v>
      </c>
      <c r="E150" s="3">
        <v>662.61</v>
      </c>
      <c r="F150" s="3">
        <v>11</v>
      </c>
      <c r="G150" s="6">
        <v>0.05</v>
      </c>
      <c r="H150" s="4">
        <v>45658</v>
      </c>
      <c r="I150" s="3">
        <v>314.74</v>
      </c>
      <c r="L150" s="2" t="s">
        <v>69</v>
      </c>
      <c r="M150" s="3">
        <v>662.61</v>
      </c>
      <c r="O150" s="2">
        <f t="shared" si="6"/>
        <v>629.47950000000003</v>
      </c>
      <c r="Q150" s="2">
        <f t="shared" si="7"/>
        <v>-0.51055185811684234</v>
      </c>
      <c r="S150" s="10">
        <f t="shared" ca="1" si="8"/>
        <v>46044.478013310189</v>
      </c>
    </row>
    <row r="151" spans="1:19" x14ac:dyDescent="0.3">
      <c r="A151" s="2" t="s">
        <v>52</v>
      </c>
      <c r="B151" s="2" t="s">
        <v>48</v>
      </c>
      <c r="C151" s="2" t="s">
        <v>24</v>
      </c>
      <c r="D151" s="2" t="s">
        <v>39</v>
      </c>
      <c r="E151" s="3">
        <v>309.42</v>
      </c>
      <c r="F151" s="3">
        <v>1</v>
      </c>
      <c r="G151" s="6">
        <v>0.2</v>
      </c>
      <c r="H151" s="4">
        <v>45658</v>
      </c>
      <c r="I151" s="3">
        <v>111.39</v>
      </c>
      <c r="L151" s="2" t="s">
        <v>48</v>
      </c>
      <c r="M151" s="3">
        <v>309.42</v>
      </c>
      <c r="O151" s="2">
        <f t="shared" si="6"/>
        <v>247.53600000000003</v>
      </c>
      <c r="Q151" s="2">
        <f t="shared" si="7"/>
        <v>-0.53302847829039701</v>
      </c>
      <c r="S151" s="10">
        <f t="shared" ca="1" si="8"/>
        <v>46044.478013310189</v>
      </c>
    </row>
    <row r="152" spans="1:19" x14ac:dyDescent="0.3">
      <c r="A152" s="2" t="s">
        <v>63</v>
      </c>
      <c r="B152" s="2" t="s">
        <v>29</v>
      </c>
      <c r="C152" s="2" t="s">
        <v>24</v>
      </c>
      <c r="D152" s="2" t="s">
        <v>12</v>
      </c>
      <c r="E152" s="3">
        <v>884.63</v>
      </c>
      <c r="F152" s="3">
        <v>18</v>
      </c>
      <c r="G152" s="6">
        <v>0.1</v>
      </c>
      <c r="H152" s="4">
        <v>45659</v>
      </c>
      <c r="I152" s="3">
        <v>318.47000000000003</v>
      </c>
      <c r="L152" s="2" t="s">
        <v>29</v>
      </c>
      <c r="M152" s="3">
        <v>884.63</v>
      </c>
      <c r="O152" s="2">
        <f t="shared" si="6"/>
        <v>796.16700000000003</v>
      </c>
      <c r="Q152" s="2">
        <f t="shared" si="7"/>
        <v>1.8589942473014027</v>
      </c>
      <c r="S152" s="10">
        <f t="shared" ca="1" si="8"/>
        <v>46044.478013310189</v>
      </c>
    </row>
    <row r="153" spans="1:19" x14ac:dyDescent="0.3">
      <c r="A153" s="2" t="s">
        <v>52</v>
      </c>
      <c r="B153" s="2" t="s">
        <v>23</v>
      </c>
      <c r="C153" s="2" t="s">
        <v>34</v>
      </c>
      <c r="D153" s="2" t="s">
        <v>39</v>
      </c>
      <c r="E153" s="3">
        <v>745.05</v>
      </c>
      <c r="F153" s="3">
        <v>10</v>
      </c>
      <c r="G153" s="6">
        <v>0.1</v>
      </c>
      <c r="H153" s="4">
        <v>45660</v>
      </c>
      <c r="I153" s="3">
        <v>301.75</v>
      </c>
      <c r="L153" s="2" t="s">
        <v>23</v>
      </c>
      <c r="M153" s="3">
        <v>745.05</v>
      </c>
      <c r="O153" s="2">
        <f t="shared" si="6"/>
        <v>670.54499999999996</v>
      </c>
      <c r="Q153" s="2">
        <f t="shared" si="7"/>
        <v>-0.15778348009902449</v>
      </c>
      <c r="S153" s="10">
        <f t="shared" ca="1" si="8"/>
        <v>46044.478013310189</v>
      </c>
    </row>
    <row r="154" spans="1:19" x14ac:dyDescent="0.3">
      <c r="A154" s="2" t="s">
        <v>60</v>
      </c>
      <c r="B154" s="2" t="s">
        <v>17</v>
      </c>
      <c r="C154" s="2" t="s">
        <v>20</v>
      </c>
      <c r="D154" s="2" t="s">
        <v>15</v>
      </c>
      <c r="E154" s="3">
        <v>870.23</v>
      </c>
      <c r="F154" s="3">
        <v>5</v>
      </c>
      <c r="G154" s="6">
        <v>0.05</v>
      </c>
      <c r="H154" s="4">
        <v>45660</v>
      </c>
      <c r="I154" s="3">
        <v>413.36</v>
      </c>
      <c r="L154" s="2" t="s">
        <v>17</v>
      </c>
      <c r="M154" s="3">
        <v>870.23</v>
      </c>
      <c r="O154" s="2">
        <f t="shared" si="6"/>
        <v>826.71849999999995</v>
      </c>
      <c r="Q154" s="2">
        <f t="shared" si="7"/>
        <v>0.16801556942487092</v>
      </c>
      <c r="S154" s="10">
        <f t="shared" ca="1" si="8"/>
        <v>46044.478013310189</v>
      </c>
    </row>
    <row r="155" spans="1:19" x14ac:dyDescent="0.3">
      <c r="A155" s="2" t="s">
        <v>35</v>
      </c>
      <c r="B155" s="2" t="s">
        <v>29</v>
      </c>
      <c r="C155" s="2" t="s">
        <v>11</v>
      </c>
      <c r="D155" s="2" t="s">
        <v>27</v>
      </c>
      <c r="E155" s="3">
        <v>862.19</v>
      </c>
      <c r="F155" s="3">
        <v>18</v>
      </c>
      <c r="G155" s="6">
        <v>0.05</v>
      </c>
      <c r="H155" s="4">
        <v>45663</v>
      </c>
      <c r="I155" s="3">
        <v>286.68</v>
      </c>
      <c r="L155" s="2" t="s">
        <v>29</v>
      </c>
      <c r="M155" s="3">
        <v>862.19</v>
      </c>
      <c r="O155" s="2">
        <f t="shared" si="6"/>
        <v>819.08050000000003</v>
      </c>
      <c r="Q155" s="2">
        <f t="shared" si="7"/>
        <v>-9.2389368327912887E-3</v>
      </c>
      <c r="S155" s="10">
        <f t="shared" ca="1" si="8"/>
        <v>46044.478013310189</v>
      </c>
    </row>
    <row r="156" spans="1:19" x14ac:dyDescent="0.3">
      <c r="A156" s="2" t="s">
        <v>73</v>
      </c>
      <c r="B156" s="2" t="s">
        <v>59</v>
      </c>
      <c r="C156" s="2" t="s">
        <v>24</v>
      </c>
      <c r="D156" s="2" t="s">
        <v>15</v>
      </c>
      <c r="E156" s="3">
        <v>1171.18</v>
      </c>
      <c r="F156" s="3">
        <v>19</v>
      </c>
      <c r="G156" s="6">
        <v>0.05</v>
      </c>
      <c r="H156" s="4">
        <v>45667</v>
      </c>
      <c r="I156" s="3">
        <v>556.30999999999995</v>
      </c>
      <c r="L156" s="2" t="s">
        <v>59</v>
      </c>
      <c r="M156" s="3">
        <v>1171.18</v>
      </c>
      <c r="O156" s="2">
        <f t="shared" si="6"/>
        <v>1112.6210000000001</v>
      </c>
      <c r="Q156" s="2">
        <f t="shared" si="7"/>
        <v>0.3583780837170461</v>
      </c>
      <c r="S156" s="10">
        <f t="shared" ca="1" si="8"/>
        <v>46044.478013310189</v>
      </c>
    </row>
    <row r="157" spans="1:19" x14ac:dyDescent="0.3">
      <c r="A157" s="2" t="s">
        <v>58</v>
      </c>
      <c r="B157" s="2" t="s">
        <v>14</v>
      </c>
      <c r="C157" s="2" t="s">
        <v>20</v>
      </c>
      <c r="D157" s="2" t="s">
        <v>27</v>
      </c>
      <c r="E157" s="3">
        <v>1054.56</v>
      </c>
      <c r="F157" s="3">
        <v>11</v>
      </c>
      <c r="G157" s="6">
        <v>0.1</v>
      </c>
      <c r="H157" s="4">
        <v>45669</v>
      </c>
      <c r="I157" s="3">
        <v>332.19</v>
      </c>
      <c r="L157" s="2" t="s">
        <v>14</v>
      </c>
      <c r="M157" s="3">
        <v>1054.56</v>
      </c>
      <c r="O157" s="2">
        <f t="shared" si="6"/>
        <v>949.10399999999993</v>
      </c>
      <c r="Q157" s="2">
        <f t="shared" si="7"/>
        <v>-9.9574787820830374E-2</v>
      </c>
      <c r="S157" s="10">
        <f t="shared" ca="1" si="8"/>
        <v>46044.478013310189</v>
      </c>
    </row>
    <row r="158" spans="1:19" x14ac:dyDescent="0.3">
      <c r="A158" s="2" t="s">
        <v>58</v>
      </c>
      <c r="B158" s="2" t="s">
        <v>23</v>
      </c>
      <c r="C158" s="2" t="s">
        <v>24</v>
      </c>
      <c r="D158" s="2" t="s">
        <v>21</v>
      </c>
      <c r="E158" s="3">
        <v>1681.21</v>
      </c>
      <c r="F158" s="3">
        <v>5</v>
      </c>
      <c r="G158" s="6">
        <v>0.2</v>
      </c>
      <c r="H158" s="4">
        <v>45670</v>
      </c>
      <c r="I158" s="3">
        <v>336.24</v>
      </c>
      <c r="L158" s="2" t="s">
        <v>23</v>
      </c>
      <c r="M158" s="3">
        <v>1681.21</v>
      </c>
      <c r="O158" s="2">
        <f t="shared" si="6"/>
        <v>1344.9680000000001</v>
      </c>
      <c r="Q158" s="2">
        <f t="shared" si="7"/>
        <v>0.59422887270520419</v>
      </c>
      <c r="S158" s="10">
        <f t="shared" ca="1" si="8"/>
        <v>46044.478013310189</v>
      </c>
    </row>
    <row r="159" spans="1:19" x14ac:dyDescent="0.3">
      <c r="A159" s="2" t="s">
        <v>58</v>
      </c>
      <c r="B159" s="2" t="s">
        <v>36</v>
      </c>
      <c r="C159" s="2" t="s">
        <v>11</v>
      </c>
      <c r="D159" s="2" t="s">
        <v>15</v>
      </c>
      <c r="E159" s="3">
        <v>379.77</v>
      </c>
      <c r="F159" s="3">
        <v>9</v>
      </c>
      <c r="G159" s="6">
        <v>0.05</v>
      </c>
      <c r="H159" s="4">
        <v>45673</v>
      </c>
      <c r="I159" s="3">
        <v>180.39</v>
      </c>
      <c r="L159" s="2" t="s">
        <v>36</v>
      </c>
      <c r="M159" s="3">
        <v>379.77</v>
      </c>
      <c r="O159" s="2">
        <f t="shared" si="6"/>
        <v>360.78149999999999</v>
      </c>
      <c r="Q159" s="2">
        <f t="shared" si="7"/>
        <v>-0.77410912378584473</v>
      </c>
      <c r="S159" s="10">
        <f t="shared" ca="1" si="8"/>
        <v>46044.478013310189</v>
      </c>
    </row>
    <row r="160" spans="1:19" x14ac:dyDescent="0.3">
      <c r="A160" s="2" t="s">
        <v>44</v>
      </c>
      <c r="B160" s="2" t="s">
        <v>45</v>
      </c>
      <c r="C160" s="2" t="s">
        <v>34</v>
      </c>
      <c r="D160" s="2" t="s">
        <v>15</v>
      </c>
      <c r="E160" s="3">
        <v>1076.33</v>
      </c>
      <c r="F160" s="3">
        <v>2</v>
      </c>
      <c r="G160" s="6">
        <v>0.1</v>
      </c>
      <c r="H160" s="4">
        <v>45674</v>
      </c>
      <c r="I160" s="3">
        <v>484.35</v>
      </c>
      <c r="L160" s="2" t="s">
        <v>45</v>
      </c>
      <c r="M160" s="3">
        <v>1076.33</v>
      </c>
      <c r="O160" s="2">
        <f t="shared" si="6"/>
        <v>968.697</v>
      </c>
      <c r="Q160" s="2">
        <f t="shared" si="7"/>
        <v>1.8341627827369196</v>
      </c>
      <c r="S160" s="10">
        <f t="shared" ca="1" si="8"/>
        <v>46044.478013310189</v>
      </c>
    </row>
    <row r="161" spans="1:19" x14ac:dyDescent="0.3">
      <c r="A161" s="2" t="s">
        <v>44</v>
      </c>
      <c r="B161" s="2" t="s">
        <v>31</v>
      </c>
      <c r="C161" s="2" t="s">
        <v>34</v>
      </c>
      <c r="D161" s="2" t="s">
        <v>39</v>
      </c>
      <c r="E161" s="3">
        <v>1250.71</v>
      </c>
      <c r="F161" s="3">
        <v>7</v>
      </c>
      <c r="G161" s="6">
        <v>0</v>
      </c>
      <c r="H161" s="4">
        <v>45674</v>
      </c>
      <c r="I161" s="3">
        <v>562.82000000000005</v>
      </c>
      <c r="L161" s="2" t="s">
        <v>31</v>
      </c>
      <c r="M161" s="3">
        <v>1250.71</v>
      </c>
      <c r="O161" s="2">
        <f t="shared" si="6"/>
        <v>1250.71</v>
      </c>
      <c r="Q161" s="2">
        <f t="shared" si="7"/>
        <v>0.16201350886809818</v>
      </c>
      <c r="S161" s="10">
        <f t="shared" ca="1" si="8"/>
        <v>46044.478013310189</v>
      </c>
    </row>
    <row r="162" spans="1:19" x14ac:dyDescent="0.3">
      <c r="A162" s="2" t="s">
        <v>40</v>
      </c>
      <c r="B162" s="2" t="s">
        <v>17</v>
      </c>
      <c r="C162" s="2" t="s">
        <v>20</v>
      </c>
      <c r="D162" s="2" t="s">
        <v>15</v>
      </c>
      <c r="E162" s="3">
        <v>1118.3399999999999</v>
      </c>
      <c r="F162" s="3">
        <v>6</v>
      </c>
      <c r="G162" s="6">
        <v>0.2</v>
      </c>
      <c r="H162" s="4">
        <v>45674</v>
      </c>
      <c r="I162" s="3">
        <v>447.34</v>
      </c>
      <c r="L162" s="2" t="s">
        <v>17</v>
      </c>
      <c r="M162" s="3">
        <v>1118.3399999999999</v>
      </c>
      <c r="O162" s="2">
        <f t="shared" si="6"/>
        <v>894.67200000000003</v>
      </c>
      <c r="Q162" s="2">
        <f t="shared" si="7"/>
        <v>-0.10583588521719672</v>
      </c>
      <c r="S162" s="10">
        <f t="shared" ca="1" si="8"/>
        <v>46044.478013310189</v>
      </c>
    </row>
    <row r="163" spans="1:19" x14ac:dyDescent="0.3">
      <c r="A163" s="2" t="s">
        <v>70</v>
      </c>
      <c r="B163" s="2" t="s">
        <v>53</v>
      </c>
      <c r="C163" s="2" t="s">
        <v>24</v>
      </c>
      <c r="D163" s="2" t="s">
        <v>15</v>
      </c>
      <c r="E163" s="3">
        <v>1622.62</v>
      </c>
      <c r="F163" s="3">
        <v>12</v>
      </c>
      <c r="G163" s="6">
        <v>0.2</v>
      </c>
      <c r="H163" s="4">
        <v>45677</v>
      </c>
      <c r="I163" s="3">
        <v>649.04999999999995</v>
      </c>
      <c r="L163" s="2" t="s">
        <v>53</v>
      </c>
      <c r="M163" s="3">
        <v>1622.62</v>
      </c>
      <c r="O163" s="2">
        <f t="shared" si="6"/>
        <v>1298.096</v>
      </c>
      <c r="Q163" s="2">
        <f t="shared" si="7"/>
        <v>0.45091832537510956</v>
      </c>
      <c r="S163" s="10">
        <f t="shared" ca="1" si="8"/>
        <v>46044.478013310189</v>
      </c>
    </row>
    <row r="164" spans="1:19" x14ac:dyDescent="0.3">
      <c r="A164" s="2" t="s">
        <v>75</v>
      </c>
      <c r="B164" s="2" t="s">
        <v>48</v>
      </c>
      <c r="C164" s="2" t="s">
        <v>24</v>
      </c>
      <c r="D164" s="2" t="s">
        <v>12</v>
      </c>
      <c r="E164" s="3">
        <v>640.64</v>
      </c>
      <c r="F164" s="3">
        <v>11</v>
      </c>
      <c r="G164" s="6">
        <v>0.2</v>
      </c>
      <c r="H164" s="4">
        <v>45678</v>
      </c>
      <c r="I164" s="3">
        <v>205</v>
      </c>
      <c r="L164" s="2" t="s">
        <v>48</v>
      </c>
      <c r="M164" s="3">
        <v>640.64</v>
      </c>
      <c r="O164" s="2">
        <f t="shared" si="6"/>
        <v>512.51200000000006</v>
      </c>
      <c r="Q164" s="2">
        <f t="shared" si="7"/>
        <v>-0.60518174310682726</v>
      </c>
      <c r="S164" s="10">
        <f t="shared" ca="1" si="8"/>
        <v>46044.478013310189</v>
      </c>
    </row>
    <row r="165" spans="1:19" x14ac:dyDescent="0.3">
      <c r="A165" s="2" t="s">
        <v>22</v>
      </c>
      <c r="B165" s="2" t="s">
        <v>43</v>
      </c>
      <c r="C165" s="2" t="s">
        <v>11</v>
      </c>
      <c r="D165" s="2" t="s">
        <v>15</v>
      </c>
      <c r="E165" s="3">
        <v>585.16</v>
      </c>
      <c r="F165" s="3">
        <v>17</v>
      </c>
      <c r="G165" s="6">
        <v>0.1</v>
      </c>
      <c r="H165" s="4">
        <v>45684</v>
      </c>
      <c r="I165" s="3">
        <v>263.32</v>
      </c>
      <c r="L165" s="2" t="s">
        <v>43</v>
      </c>
      <c r="M165" s="3">
        <v>585.16</v>
      </c>
      <c r="O165" s="2">
        <f t="shared" si="6"/>
        <v>526.64400000000001</v>
      </c>
      <c r="Q165" s="2">
        <f t="shared" si="7"/>
        <v>-8.6600899100899131E-2</v>
      </c>
      <c r="S165" s="10">
        <f t="shared" ca="1" si="8"/>
        <v>46044.478013310189</v>
      </c>
    </row>
    <row r="166" spans="1:19" x14ac:dyDescent="0.3">
      <c r="A166" s="2" t="s">
        <v>22</v>
      </c>
      <c r="B166" s="2" t="s">
        <v>31</v>
      </c>
      <c r="C166" s="2" t="s">
        <v>18</v>
      </c>
      <c r="D166" s="2" t="s">
        <v>15</v>
      </c>
      <c r="E166" s="3">
        <v>1109.98</v>
      </c>
      <c r="F166" s="3">
        <v>5</v>
      </c>
      <c r="G166" s="6">
        <v>0.2</v>
      </c>
      <c r="H166" s="4">
        <v>45690</v>
      </c>
      <c r="I166" s="3">
        <v>443.99</v>
      </c>
      <c r="L166" s="2" t="s">
        <v>31</v>
      </c>
      <c r="M166" s="3">
        <v>1109.98</v>
      </c>
      <c r="O166" s="2">
        <f t="shared" si="6"/>
        <v>887.98400000000004</v>
      </c>
      <c r="Q166" s="2">
        <f t="shared" si="7"/>
        <v>0.8968829038211773</v>
      </c>
      <c r="S166" s="10">
        <f t="shared" ca="1" si="8"/>
        <v>46044.478013310189</v>
      </c>
    </row>
    <row r="167" spans="1:19" x14ac:dyDescent="0.3">
      <c r="A167" s="2" t="s">
        <v>58</v>
      </c>
      <c r="B167" s="2" t="s">
        <v>45</v>
      </c>
      <c r="C167" s="2" t="s">
        <v>18</v>
      </c>
      <c r="D167" s="2" t="s">
        <v>12</v>
      </c>
      <c r="E167" s="3">
        <v>1098.08</v>
      </c>
      <c r="F167" s="3">
        <v>9</v>
      </c>
      <c r="G167" s="6">
        <v>0.1</v>
      </c>
      <c r="H167" s="4">
        <v>45692</v>
      </c>
      <c r="I167" s="3">
        <v>395.31</v>
      </c>
      <c r="L167" s="2" t="s">
        <v>45</v>
      </c>
      <c r="M167" s="3">
        <v>1098.08</v>
      </c>
      <c r="O167" s="2">
        <f t="shared" si="6"/>
        <v>988.27199999999993</v>
      </c>
      <c r="Q167" s="2">
        <f t="shared" si="7"/>
        <v>-1.0720913890340448E-2</v>
      </c>
      <c r="S167" s="10">
        <f t="shared" ca="1" si="8"/>
        <v>46044.478013310189</v>
      </c>
    </row>
    <row r="168" spans="1:19" x14ac:dyDescent="0.3">
      <c r="A168" s="2" t="s">
        <v>65</v>
      </c>
      <c r="B168" s="2" t="s">
        <v>48</v>
      </c>
      <c r="C168" s="2" t="s">
        <v>11</v>
      </c>
      <c r="D168" s="2" t="s">
        <v>39</v>
      </c>
      <c r="E168" s="3">
        <v>827.25</v>
      </c>
      <c r="F168" s="3">
        <v>7</v>
      </c>
      <c r="G168" s="6">
        <v>0.1</v>
      </c>
      <c r="H168" s="4">
        <v>45693</v>
      </c>
      <c r="I168" s="3">
        <v>335.04</v>
      </c>
      <c r="L168" s="2" t="s">
        <v>48</v>
      </c>
      <c r="M168" s="3">
        <v>827.25</v>
      </c>
      <c r="O168" s="2">
        <f t="shared" si="6"/>
        <v>744.52499999999998</v>
      </c>
      <c r="Q168" s="2">
        <f t="shared" si="7"/>
        <v>-0.24663958910097619</v>
      </c>
      <c r="S168" s="10">
        <f t="shared" ca="1" si="8"/>
        <v>46044.478013310189</v>
      </c>
    </row>
    <row r="169" spans="1:19" x14ac:dyDescent="0.3">
      <c r="A169" s="2" t="s">
        <v>70</v>
      </c>
      <c r="B169" s="2" t="s">
        <v>29</v>
      </c>
      <c r="C169" s="2" t="s">
        <v>34</v>
      </c>
      <c r="D169" s="2" t="s">
        <v>15</v>
      </c>
      <c r="E169" s="3">
        <v>741.88</v>
      </c>
      <c r="F169" s="3">
        <v>16</v>
      </c>
      <c r="G169" s="6">
        <v>0.1</v>
      </c>
      <c r="H169" s="4">
        <v>45695</v>
      </c>
      <c r="I169" s="3">
        <v>333.85</v>
      </c>
      <c r="L169" s="2" t="s">
        <v>29</v>
      </c>
      <c r="M169" s="3">
        <v>741.88</v>
      </c>
      <c r="O169" s="2">
        <f t="shared" si="6"/>
        <v>667.69200000000001</v>
      </c>
      <c r="Q169" s="2">
        <f t="shared" si="7"/>
        <v>-0.10319734058627984</v>
      </c>
      <c r="S169" s="10">
        <f t="shared" ca="1" si="8"/>
        <v>46044.478013310189</v>
      </c>
    </row>
    <row r="170" spans="1:19" x14ac:dyDescent="0.3">
      <c r="A170" s="2" t="s">
        <v>72</v>
      </c>
      <c r="B170" s="2" t="s">
        <v>10</v>
      </c>
      <c r="C170" s="2" t="s">
        <v>18</v>
      </c>
      <c r="D170" s="2" t="s">
        <v>39</v>
      </c>
      <c r="E170" s="3">
        <v>1311.26</v>
      </c>
      <c r="F170" s="3">
        <v>6</v>
      </c>
      <c r="G170" s="6">
        <v>0.1</v>
      </c>
      <c r="H170" s="4">
        <v>45698</v>
      </c>
      <c r="I170" s="3">
        <v>531.05999999999995</v>
      </c>
      <c r="L170" s="2" t="s">
        <v>10</v>
      </c>
      <c r="M170" s="3">
        <v>1311.26</v>
      </c>
      <c r="O170" s="2">
        <f t="shared" si="6"/>
        <v>1180.134</v>
      </c>
      <c r="Q170" s="2">
        <f t="shared" si="7"/>
        <v>0.76748261174313903</v>
      </c>
      <c r="S170" s="10">
        <f t="shared" ca="1" si="8"/>
        <v>46044.478013310189</v>
      </c>
    </row>
    <row r="171" spans="1:19" x14ac:dyDescent="0.3">
      <c r="A171" s="2" t="s">
        <v>72</v>
      </c>
      <c r="B171" s="2" t="s">
        <v>31</v>
      </c>
      <c r="C171" s="2" t="s">
        <v>20</v>
      </c>
      <c r="D171" s="2" t="s">
        <v>39</v>
      </c>
      <c r="E171" s="3">
        <v>573.32000000000005</v>
      </c>
      <c r="F171" s="3">
        <v>19</v>
      </c>
      <c r="G171" s="6">
        <v>0.1</v>
      </c>
      <c r="H171" s="4">
        <v>45703</v>
      </c>
      <c r="I171" s="3">
        <v>232.19</v>
      </c>
      <c r="L171" s="2" t="s">
        <v>31</v>
      </c>
      <c r="M171" s="3">
        <v>573.32000000000005</v>
      </c>
      <c r="O171" s="2">
        <f t="shared" si="6"/>
        <v>515.98800000000006</v>
      </c>
      <c r="Q171" s="2">
        <f t="shared" si="7"/>
        <v>-0.56277168524930221</v>
      </c>
      <c r="S171" s="10">
        <f t="shared" ca="1" si="8"/>
        <v>46044.478013310189</v>
      </c>
    </row>
    <row r="172" spans="1:19" x14ac:dyDescent="0.3">
      <c r="A172" s="2" t="s">
        <v>52</v>
      </c>
      <c r="B172" s="2" t="s">
        <v>23</v>
      </c>
      <c r="C172" s="2" t="s">
        <v>11</v>
      </c>
      <c r="D172" s="2" t="s">
        <v>21</v>
      </c>
      <c r="E172" s="3">
        <v>1115.22</v>
      </c>
      <c r="F172" s="3">
        <v>14</v>
      </c>
      <c r="G172" s="6">
        <v>0.2</v>
      </c>
      <c r="H172" s="4">
        <v>45705</v>
      </c>
      <c r="I172" s="3">
        <v>223.04</v>
      </c>
      <c r="L172" s="2" t="s">
        <v>23</v>
      </c>
      <c r="M172" s="3">
        <v>1115.22</v>
      </c>
      <c r="O172" s="2">
        <f t="shared" si="6"/>
        <v>892.17600000000004</v>
      </c>
      <c r="Q172" s="2">
        <f t="shared" si="7"/>
        <v>0.94519639991627702</v>
      </c>
      <c r="S172" s="10">
        <f t="shared" ca="1" si="8"/>
        <v>46044.478013310189</v>
      </c>
    </row>
    <row r="173" spans="1:19" x14ac:dyDescent="0.3">
      <c r="A173" s="2" t="s">
        <v>13</v>
      </c>
      <c r="B173" s="2" t="s">
        <v>45</v>
      </c>
      <c r="C173" s="2" t="s">
        <v>24</v>
      </c>
      <c r="D173" s="2" t="s">
        <v>15</v>
      </c>
      <c r="E173" s="3">
        <v>845.84</v>
      </c>
      <c r="F173" s="3">
        <v>4</v>
      </c>
      <c r="G173" s="6">
        <v>0</v>
      </c>
      <c r="H173" s="4">
        <v>45707</v>
      </c>
      <c r="I173" s="3">
        <v>422.92</v>
      </c>
      <c r="L173" s="2" t="s">
        <v>45</v>
      </c>
      <c r="M173" s="3">
        <v>845.84</v>
      </c>
      <c r="O173" s="2">
        <f t="shared" si="6"/>
        <v>845.84</v>
      </c>
      <c r="Q173" s="2">
        <f t="shared" si="7"/>
        <v>-0.24154875271246928</v>
      </c>
      <c r="S173" s="10">
        <f t="shared" ca="1" si="8"/>
        <v>46044.478013310189</v>
      </c>
    </row>
    <row r="174" spans="1:19" x14ac:dyDescent="0.3">
      <c r="A174" s="2" t="s">
        <v>30</v>
      </c>
      <c r="B174" s="2" t="s">
        <v>55</v>
      </c>
      <c r="C174" s="2" t="s">
        <v>11</v>
      </c>
      <c r="D174" s="2" t="s">
        <v>21</v>
      </c>
      <c r="E174" s="3">
        <v>1029.8</v>
      </c>
      <c r="F174" s="3">
        <v>3</v>
      </c>
      <c r="G174" s="6">
        <v>0</v>
      </c>
      <c r="H174" s="4">
        <v>45708</v>
      </c>
      <c r="I174" s="3">
        <v>257.45</v>
      </c>
      <c r="L174" s="2" t="s">
        <v>55</v>
      </c>
      <c r="M174" s="3">
        <v>1029.8</v>
      </c>
      <c r="O174" s="2">
        <f t="shared" si="6"/>
        <v>1029.8</v>
      </c>
      <c r="Q174" s="2">
        <f t="shared" si="7"/>
        <v>0.21748794098174587</v>
      </c>
      <c r="S174" s="10">
        <f t="shared" ca="1" si="8"/>
        <v>46044.478013310189</v>
      </c>
    </row>
    <row r="175" spans="1:19" x14ac:dyDescent="0.3">
      <c r="A175" s="2" t="s">
        <v>32</v>
      </c>
      <c r="B175" s="2" t="s">
        <v>31</v>
      </c>
      <c r="C175" s="2" t="s">
        <v>24</v>
      </c>
      <c r="D175" s="2" t="s">
        <v>12</v>
      </c>
      <c r="E175" s="3">
        <v>1189.83</v>
      </c>
      <c r="F175" s="3">
        <v>2</v>
      </c>
      <c r="G175" s="6">
        <v>0.2</v>
      </c>
      <c r="H175" s="4">
        <v>45709</v>
      </c>
      <c r="I175" s="3">
        <v>380.75</v>
      </c>
      <c r="L175" s="2" t="s">
        <v>31</v>
      </c>
      <c r="M175" s="3">
        <v>1189.83</v>
      </c>
      <c r="O175" s="2">
        <f t="shared" si="6"/>
        <v>951.86400000000003</v>
      </c>
      <c r="Q175" s="2">
        <f t="shared" si="7"/>
        <v>0.15539910662264517</v>
      </c>
      <c r="S175" s="10">
        <f t="shared" ca="1" si="8"/>
        <v>46044.478013310189</v>
      </c>
    </row>
    <row r="176" spans="1:19" x14ac:dyDescent="0.3">
      <c r="A176" s="2" t="s">
        <v>67</v>
      </c>
      <c r="B176" s="2" t="s">
        <v>43</v>
      </c>
      <c r="C176" s="2" t="s">
        <v>20</v>
      </c>
      <c r="D176" s="2" t="s">
        <v>12</v>
      </c>
      <c r="E176" s="3">
        <v>704.28</v>
      </c>
      <c r="F176" s="3">
        <v>15</v>
      </c>
      <c r="G176" s="6">
        <v>0.2</v>
      </c>
      <c r="H176" s="4">
        <v>45712</v>
      </c>
      <c r="I176" s="3">
        <v>225.37</v>
      </c>
      <c r="L176" s="2" t="s">
        <v>43</v>
      </c>
      <c r="M176" s="3">
        <v>704.28</v>
      </c>
      <c r="O176" s="2">
        <f t="shared" si="6"/>
        <v>563.42399999999998</v>
      </c>
      <c r="Q176" s="2">
        <f t="shared" si="7"/>
        <v>-0.40808350772799473</v>
      </c>
      <c r="S176" s="10">
        <f t="shared" ca="1" si="8"/>
        <v>46044.478013310189</v>
      </c>
    </row>
    <row r="177" spans="1:19" x14ac:dyDescent="0.3">
      <c r="A177" s="2" t="s">
        <v>65</v>
      </c>
      <c r="B177" s="2" t="s">
        <v>47</v>
      </c>
      <c r="C177" s="2" t="s">
        <v>34</v>
      </c>
      <c r="D177" s="2" t="s">
        <v>39</v>
      </c>
      <c r="E177" s="3">
        <v>1618.22</v>
      </c>
      <c r="F177" s="3">
        <v>12</v>
      </c>
      <c r="G177" s="6">
        <v>0.2</v>
      </c>
      <c r="H177" s="4">
        <v>45712</v>
      </c>
      <c r="I177" s="3">
        <v>582.55999999999995</v>
      </c>
      <c r="L177" s="2" t="s">
        <v>47</v>
      </c>
      <c r="M177" s="3">
        <v>1618.22</v>
      </c>
      <c r="O177" s="2">
        <f t="shared" si="6"/>
        <v>1294.576</v>
      </c>
      <c r="Q177" s="2">
        <f t="shared" si="7"/>
        <v>1.2976940989379226</v>
      </c>
      <c r="S177" s="10">
        <f t="shared" ca="1" si="8"/>
        <v>46044.478013310189</v>
      </c>
    </row>
    <row r="178" spans="1:19" x14ac:dyDescent="0.3">
      <c r="A178" s="2" t="s">
        <v>73</v>
      </c>
      <c r="B178" s="2" t="s">
        <v>53</v>
      </c>
      <c r="C178" s="2" t="s">
        <v>34</v>
      </c>
      <c r="D178" s="2" t="s">
        <v>12</v>
      </c>
      <c r="E178" s="3">
        <v>1014.43</v>
      </c>
      <c r="F178" s="3">
        <v>2</v>
      </c>
      <c r="G178" s="6">
        <v>0.15</v>
      </c>
      <c r="H178" s="4">
        <v>45713</v>
      </c>
      <c r="I178" s="3">
        <v>344.91</v>
      </c>
      <c r="L178" s="2" t="s">
        <v>53</v>
      </c>
      <c r="M178" s="3">
        <v>1014.43</v>
      </c>
      <c r="O178" s="2">
        <f t="shared" si="6"/>
        <v>862.26549999999997</v>
      </c>
      <c r="Q178" s="2">
        <f t="shared" si="7"/>
        <v>-0.37311984773392992</v>
      </c>
      <c r="S178" s="10">
        <f t="shared" ca="1" si="8"/>
        <v>46044.478013310189</v>
      </c>
    </row>
    <row r="179" spans="1:19" x14ac:dyDescent="0.3">
      <c r="A179" s="2" t="s">
        <v>75</v>
      </c>
      <c r="B179" s="2" t="s">
        <v>31</v>
      </c>
      <c r="C179" s="2" t="s">
        <v>34</v>
      </c>
      <c r="D179" s="2" t="s">
        <v>15</v>
      </c>
      <c r="E179" s="3">
        <v>826.97</v>
      </c>
      <c r="F179" s="3">
        <v>18</v>
      </c>
      <c r="G179" s="6">
        <v>0.2</v>
      </c>
      <c r="H179" s="4">
        <v>45715</v>
      </c>
      <c r="I179" s="3">
        <v>330.79</v>
      </c>
      <c r="L179" s="2" t="s">
        <v>31</v>
      </c>
      <c r="M179" s="3">
        <v>826.97</v>
      </c>
      <c r="O179" s="2">
        <f t="shared" si="6"/>
        <v>661.57600000000002</v>
      </c>
      <c r="Q179" s="2">
        <f t="shared" si="7"/>
        <v>-0.1847934307936476</v>
      </c>
      <c r="S179" s="10">
        <f t="shared" ca="1" si="8"/>
        <v>46044.478013310189</v>
      </c>
    </row>
    <row r="180" spans="1:19" x14ac:dyDescent="0.3">
      <c r="A180" s="2" t="s">
        <v>16</v>
      </c>
      <c r="B180" s="2" t="s">
        <v>31</v>
      </c>
      <c r="C180" s="2" t="s">
        <v>34</v>
      </c>
      <c r="D180" s="2" t="s">
        <v>15</v>
      </c>
      <c r="E180" s="3">
        <v>1022.23</v>
      </c>
      <c r="F180" s="3">
        <v>8</v>
      </c>
      <c r="G180" s="6">
        <v>0.1</v>
      </c>
      <c r="H180" s="4">
        <v>45717</v>
      </c>
      <c r="I180" s="3">
        <v>460</v>
      </c>
      <c r="L180" s="2" t="s">
        <v>31</v>
      </c>
      <c r="M180" s="3">
        <v>1022.23</v>
      </c>
      <c r="O180" s="2">
        <f t="shared" si="6"/>
        <v>920.00700000000006</v>
      </c>
      <c r="Q180" s="2">
        <f t="shared" si="7"/>
        <v>0.23611497394101355</v>
      </c>
      <c r="S180" s="10">
        <f t="shared" ca="1" si="8"/>
        <v>46044.478013310189</v>
      </c>
    </row>
    <row r="181" spans="1:19" x14ac:dyDescent="0.3">
      <c r="A181" s="2" t="s">
        <v>72</v>
      </c>
      <c r="B181" s="2" t="s">
        <v>29</v>
      </c>
      <c r="C181" s="2" t="s">
        <v>18</v>
      </c>
      <c r="D181" s="2" t="s">
        <v>12</v>
      </c>
      <c r="E181" s="3">
        <v>1099.69</v>
      </c>
      <c r="F181" s="3">
        <v>6</v>
      </c>
      <c r="G181" s="6">
        <v>0</v>
      </c>
      <c r="H181" s="4">
        <v>45718</v>
      </c>
      <c r="I181" s="3">
        <v>439.88</v>
      </c>
      <c r="L181" s="2" t="s">
        <v>29</v>
      </c>
      <c r="M181" s="3">
        <v>1099.69</v>
      </c>
      <c r="O181" s="2">
        <f t="shared" si="6"/>
        <v>1099.69</v>
      </c>
      <c r="Q181" s="2">
        <f t="shared" si="7"/>
        <v>7.5775510403725224E-2</v>
      </c>
      <c r="S181" s="10">
        <f t="shared" ca="1" si="8"/>
        <v>46044.478013310189</v>
      </c>
    </row>
    <row r="182" spans="1:19" x14ac:dyDescent="0.3">
      <c r="A182" s="2" t="s">
        <v>52</v>
      </c>
      <c r="B182" s="2" t="s">
        <v>64</v>
      </c>
      <c r="C182" s="2" t="s">
        <v>24</v>
      </c>
      <c r="D182" s="2" t="s">
        <v>12</v>
      </c>
      <c r="E182" s="3">
        <v>710.52</v>
      </c>
      <c r="F182" s="3">
        <v>8</v>
      </c>
      <c r="G182" s="6">
        <v>0.1</v>
      </c>
      <c r="H182" s="4">
        <v>45721</v>
      </c>
      <c r="I182" s="3">
        <v>255.79</v>
      </c>
      <c r="L182" s="2" t="s">
        <v>64</v>
      </c>
      <c r="M182" s="3">
        <v>710.52</v>
      </c>
      <c r="O182" s="2">
        <f t="shared" si="6"/>
        <v>639.46799999999996</v>
      </c>
      <c r="Q182" s="2">
        <f t="shared" si="7"/>
        <v>-0.35389064190817415</v>
      </c>
      <c r="S182" s="10">
        <f t="shared" ca="1" si="8"/>
        <v>46044.478013310189</v>
      </c>
    </row>
    <row r="183" spans="1:19" x14ac:dyDescent="0.3">
      <c r="A183" s="2" t="s">
        <v>52</v>
      </c>
      <c r="B183" s="2" t="s">
        <v>59</v>
      </c>
      <c r="C183" s="2" t="s">
        <v>24</v>
      </c>
      <c r="D183" s="2" t="s">
        <v>12</v>
      </c>
      <c r="E183" s="3">
        <v>499.18</v>
      </c>
      <c r="F183" s="3">
        <v>15</v>
      </c>
      <c r="G183" s="6">
        <v>0.2</v>
      </c>
      <c r="H183" s="4">
        <v>45724</v>
      </c>
      <c r="I183" s="3">
        <v>159.74</v>
      </c>
      <c r="L183" s="2" t="s">
        <v>59</v>
      </c>
      <c r="M183" s="3">
        <v>499.18</v>
      </c>
      <c r="O183" s="2">
        <f t="shared" si="6"/>
        <v>399.34400000000005</v>
      </c>
      <c r="Q183" s="2">
        <f t="shared" si="7"/>
        <v>-0.29744412542926307</v>
      </c>
      <c r="S183" s="10">
        <f t="shared" ca="1" si="8"/>
        <v>46044.478013310189</v>
      </c>
    </row>
    <row r="184" spans="1:19" x14ac:dyDescent="0.3">
      <c r="A184" s="2" t="s">
        <v>37</v>
      </c>
      <c r="B184" s="2" t="s">
        <v>38</v>
      </c>
      <c r="C184" s="2" t="s">
        <v>20</v>
      </c>
      <c r="D184" s="2" t="s">
        <v>12</v>
      </c>
      <c r="E184" s="3">
        <v>1064.19</v>
      </c>
      <c r="F184" s="3">
        <v>18</v>
      </c>
      <c r="G184" s="6">
        <v>0.05</v>
      </c>
      <c r="H184" s="4">
        <v>45725</v>
      </c>
      <c r="I184" s="3">
        <v>404.39</v>
      </c>
      <c r="L184" s="2" t="s">
        <v>38</v>
      </c>
      <c r="M184" s="3">
        <v>1064.19</v>
      </c>
      <c r="O184" s="2">
        <f t="shared" si="6"/>
        <v>1010.9805</v>
      </c>
      <c r="Q184" s="2">
        <f t="shared" si="7"/>
        <v>1.1318762770944348</v>
      </c>
      <c r="S184" s="10">
        <f t="shared" ca="1" si="8"/>
        <v>46044.478013310189</v>
      </c>
    </row>
    <row r="185" spans="1:19" x14ac:dyDescent="0.3">
      <c r="A185" s="2" t="s">
        <v>67</v>
      </c>
      <c r="B185" s="2" t="s">
        <v>38</v>
      </c>
      <c r="C185" s="2" t="s">
        <v>18</v>
      </c>
      <c r="D185" s="2" t="s">
        <v>39</v>
      </c>
      <c r="E185" s="3">
        <v>438.76</v>
      </c>
      <c r="F185" s="3">
        <v>18</v>
      </c>
      <c r="G185" s="6">
        <v>0.05</v>
      </c>
      <c r="H185" s="4">
        <v>45726</v>
      </c>
      <c r="I185" s="3">
        <v>187.57</v>
      </c>
      <c r="L185" s="2" t="s">
        <v>38</v>
      </c>
      <c r="M185" s="3">
        <v>438.76</v>
      </c>
      <c r="O185" s="2">
        <f t="shared" si="6"/>
        <v>416.82199999999995</v>
      </c>
      <c r="Q185" s="2">
        <f t="shared" si="7"/>
        <v>-0.58770520301825802</v>
      </c>
      <c r="S185" s="10">
        <f t="shared" ca="1" si="8"/>
        <v>46044.478013310189</v>
      </c>
    </row>
    <row r="186" spans="1:19" x14ac:dyDescent="0.3">
      <c r="A186" s="2" t="s">
        <v>41</v>
      </c>
      <c r="B186" s="2" t="s">
        <v>55</v>
      </c>
      <c r="C186" s="2" t="s">
        <v>11</v>
      </c>
      <c r="D186" s="2" t="s">
        <v>15</v>
      </c>
      <c r="E186" s="3">
        <v>864.98</v>
      </c>
      <c r="F186" s="3">
        <v>2</v>
      </c>
      <c r="G186" s="6">
        <v>0.05</v>
      </c>
      <c r="H186" s="4">
        <v>45727</v>
      </c>
      <c r="I186" s="3">
        <v>410.87</v>
      </c>
      <c r="L186" s="2" t="s">
        <v>55</v>
      </c>
      <c r="M186" s="3">
        <v>864.98</v>
      </c>
      <c r="O186" s="2">
        <f t="shared" si="6"/>
        <v>821.73099999999999</v>
      </c>
      <c r="Q186" s="2">
        <f t="shared" si="7"/>
        <v>0.97141945482724046</v>
      </c>
      <c r="S186" s="10">
        <f t="shared" ca="1" si="8"/>
        <v>46044.478013310189</v>
      </c>
    </row>
    <row r="187" spans="1:19" x14ac:dyDescent="0.3">
      <c r="A187" s="2" t="s">
        <v>57</v>
      </c>
      <c r="B187" s="2" t="s">
        <v>55</v>
      </c>
      <c r="C187" s="2" t="s">
        <v>11</v>
      </c>
      <c r="D187" s="2" t="s">
        <v>27</v>
      </c>
      <c r="E187" s="3">
        <v>984.93</v>
      </c>
      <c r="F187" s="3">
        <v>14</v>
      </c>
      <c r="G187" s="6">
        <v>0.2</v>
      </c>
      <c r="H187" s="4">
        <v>45733</v>
      </c>
      <c r="I187" s="3">
        <v>275.77999999999997</v>
      </c>
      <c r="L187" s="2" t="s">
        <v>55</v>
      </c>
      <c r="M187" s="3">
        <v>984.93</v>
      </c>
      <c r="O187" s="2">
        <f t="shared" si="6"/>
        <v>787.94399999999996</v>
      </c>
      <c r="Q187" s="2">
        <f t="shared" si="7"/>
        <v>0.13867372656015159</v>
      </c>
      <c r="S187" s="10">
        <f t="shared" ca="1" si="8"/>
        <v>46044.478013310189</v>
      </c>
    </row>
    <row r="188" spans="1:19" x14ac:dyDescent="0.3">
      <c r="A188" s="2" t="s">
        <v>25</v>
      </c>
      <c r="B188" s="2" t="s">
        <v>55</v>
      </c>
      <c r="C188" s="2" t="s">
        <v>11</v>
      </c>
      <c r="D188" s="2" t="s">
        <v>15</v>
      </c>
      <c r="E188" s="3">
        <v>1493.49</v>
      </c>
      <c r="F188" s="3">
        <v>18</v>
      </c>
      <c r="G188" s="6">
        <v>0</v>
      </c>
      <c r="H188" s="4">
        <v>45734</v>
      </c>
      <c r="I188" s="3">
        <v>746.74</v>
      </c>
      <c r="L188" s="2" t="s">
        <v>55</v>
      </c>
      <c r="M188" s="3">
        <v>1493.49</v>
      </c>
      <c r="O188" s="2">
        <f t="shared" si="6"/>
        <v>1493.49</v>
      </c>
      <c r="Q188" s="2">
        <f t="shared" si="7"/>
        <v>0.51634126283086113</v>
      </c>
      <c r="S188" s="10">
        <f t="shared" ca="1" si="8"/>
        <v>46044.478013310189</v>
      </c>
    </row>
    <row r="189" spans="1:19" x14ac:dyDescent="0.3">
      <c r="A189" s="2" t="s">
        <v>32</v>
      </c>
      <c r="B189" s="2" t="s">
        <v>53</v>
      </c>
      <c r="C189" s="2" t="s">
        <v>20</v>
      </c>
      <c r="D189" s="2" t="s">
        <v>15</v>
      </c>
      <c r="E189" s="3">
        <v>689.43</v>
      </c>
      <c r="F189" s="3">
        <v>9</v>
      </c>
      <c r="G189" s="6">
        <v>0.1</v>
      </c>
      <c r="H189" s="4">
        <v>45736</v>
      </c>
      <c r="I189" s="3">
        <v>310.24</v>
      </c>
      <c r="L189" s="2" t="s">
        <v>53</v>
      </c>
      <c r="M189" s="3">
        <v>689.43</v>
      </c>
      <c r="O189" s="2">
        <f t="shared" si="6"/>
        <v>620.48699999999997</v>
      </c>
      <c r="Q189" s="2">
        <f t="shared" si="7"/>
        <v>-0.53837655424542519</v>
      </c>
      <c r="S189" s="10">
        <f t="shared" ca="1" si="8"/>
        <v>46044.478013310189</v>
      </c>
    </row>
    <row r="190" spans="1:19" x14ac:dyDescent="0.3">
      <c r="A190" s="2" t="s">
        <v>40</v>
      </c>
      <c r="B190" s="2" t="s">
        <v>59</v>
      </c>
      <c r="C190" s="2" t="s">
        <v>20</v>
      </c>
      <c r="D190" s="2" t="s">
        <v>15</v>
      </c>
      <c r="E190" s="3">
        <v>682.24</v>
      </c>
      <c r="F190" s="3">
        <v>1</v>
      </c>
      <c r="G190" s="6">
        <v>0</v>
      </c>
      <c r="H190" s="4">
        <v>45738</v>
      </c>
      <c r="I190" s="3">
        <v>341.12</v>
      </c>
      <c r="L190" s="2" t="s">
        <v>59</v>
      </c>
      <c r="M190" s="3">
        <v>682.24</v>
      </c>
      <c r="O190" s="2">
        <f t="shared" si="6"/>
        <v>682.24</v>
      </c>
      <c r="Q190" s="2">
        <f t="shared" si="7"/>
        <v>-1.0428905037494657E-2</v>
      </c>
      <c r="S190" s="10">
        <f t="shared" ca="1" si="8"/>
        <v>46044.478013310189</v>
      </c>
    </row>
    <row r="191" spans="1:19" x14ac:dyDescent="0.3">
      <c r="A191" s="2" t="s">
        <v>41</v>
      </c>
      <c r="B191" s="2" t="s">
        <v>26</v>
      </c>
      <c r="C191" s="2" t="s">
        <v>24</v>
      </c>
      <c r="D191" s="2" t="s">
        <v>21</v>
      </c>
      <c r="E191" s="3">
        <v>458.54</v>
      </c>
      <c r="F191" s="3">
        <v>15</v>
      </c>
      <c r="G191" s="6">
        <v>0.2</v>
      </c>
      <c r="H191" s="4">
        <v>45741</v>
      </c>
      <c r="I191" s="3">
        <v>91.71</v>
      </c>
      <c r="L191" s="2" t="s">
        <v>26</v>
      </c>
      <c r="M191" s="3">
        <v>458.54</v>
      </c>
      <c r="O191" s="2">
        <f t="shared" si="6"/>
        <v>366.83200000000005</v>
      </c>
      <c r="Q191" s="2">
        <f t="shared" si="7"/>
        <v>-0.32789047842401498</v>
      </c>
      <c r="S191" s="10">
        <f t="shared" ca="1" si="8"/>
        <v>46044.478013310189</v>
      </c>
    </row>
    <row r="192" spans="1:19" x14ac:dyDescent="0.3">
      <c r="A192" s="2" t="s">
        <v>32</v>
      </c>
      <c r="B192" s="2" t="s">
        <v>26</v>
      </c>
      <c r="C192" s="2" t="s">
        <v>20</v>
      </c>
      <c r="D192" s="2" t="s">
        <v>27</v>
      </c>
      <c r="E192" s="3">
        <v>1184.25</v>
      </c>
      <c r="F192" s="3">
        <v>11</v>
      </c>
      <c r="G192" s="6">
        <v>0.2</v>
      </c>
      <c r="H192" s="4">
        <v>45742</v>
      </c>
      <c r="I192" s="3">
        <v>331.59</v>
      </c>
      <c r="L192" s="2" t="s">
        <v>26</v>
      </c>
      <c r="M192" s="3">
        <v>1184.25</v>
      </c>
      <c r="O192" s="2">
        <f t="shared" si="6"/>
        <v>947.40000000000009</v>
      </c>
      <c r="Q192" s="2">
        <f t="shared" si="7"/>
        <v>1.5826536398133206</v>
      </c>
      <c r="S192" s="10">
        <f t="shared" ca="1" si="8"/>
        <v>46044.478013310189</v>
      </c>
    </row>
    <row r="193" spans="1:19" x14ac:dyDescent="0.3">
      <c r="A193" s="2" t="s">
        <v>25</v>
      </c>
      <c r="B193" s="2" t="s">
        <v>10</v>
      </c>
      <c r="C193" s="2" t="s">
        <v>20</v>
      </c>
      <c r="D193" s="2" t="s">
        <v>15</v>
      </c>
      <c r="E193" s="3">
        <v>762.14</v>
      </c>
      <c r="F193" s="3">
        <v>9</v>
      </c>
      <c r="G193" s="6">
        <v>0</v>
      </c>
      <c r="H193" s="4">
        <v>45743</v>
      </c>
      <c r="I193" s="3">
        <v>381.07</v>
      </c>
      <c r="L193" s="2" t="s">
        <v>10</v>
      </c>
      <c r="M193" s="3">
        <v>762.14</v>
      </c>
      <c r="O193" s="2">
        <f t="shared" si="6"/>
        <v>762.14</v>
      </c>
      <c r="Q193" s="2">
        <f t="shared" si="7"/>
        <v>-0.35643656322567024</v>
      </c>
      <c r="S193" s="10">
        <f t="shared" ca="1" si="8"/>
        <v>46044.478013310189</v>
      </c>
    </row>
    <row r="194" spans="1:19" x14ac:dyDescent="0.3">
      <c r="A194" s="2" t="s">
        <v>22</v>
      </c>
      <c r="B194" s="2" t="s">
        <v>53</v>
      </c>
      <c r="C194" s="2" t="s">
        <v>24</v>
      </c>
      <c r="D194" s="2" t="s">
        <v>12</v>
      </c>
      <c r="E194" s="3">
        <v>750.71</v>
      </c>
      <c r="F194" s="3">
        <v>10</v>
      </c>
      <c r="G194" s="6">
        <v>0.15</v>
      </c>
      <c r="H194" s="4">
        <v>45743</v>
      </c>
      <c r="I194" s="3">
        <v>255.24</v>
      </c>
      <c r="L194" s="2" t="s">
        <v>53</v>
      </c>
      <c r="M194" s="3">
        <v>750.71</v>
      </c>
      <c r="O194" s="2">
        <f t="shared" si="6"/>
        <v>638.10350000000005</v>
      </c>
      <c r="Q194" s="2">
        <f t="shared" si="7"/>
        <v>-1.4997244600729459E-2</v>
      </c>
      <c r="S194" s="10">
        <f t="shared" ca="1" si="8"/>
        <v>46044.478013310189</v>
      </c>
    </row>
    <row r="195" spans="1:19" x14ac:dyDescent="0.3">
      <c r="A195" s="2" t="s">
        <v>75</v>
      </c>
      <c r="B195" s="2" t="s">
        <v>71</v>
      </c>
      <c r="C195" s="2" t="s">
        <v>34</v>
      </c>
      <c r="D195" s="2" t="s">
        <v>15</v>
      </c>
      <c r="E195" s="3">
        <v>1456.94</v>
      </c>
      <c r="F195" s="3">
        <v>14</v>
      </c>
      <c r="G195" s="6">
        <v>0.05</v>
      </c>
      <c r="H195" s="4">
        <v>45745</v>
      </c>
      <c r="I195" s="3">
        <v>692.05</v>
      </c>
      <c r="L195" s="2" t="s">
        <v>71</v>
      </c>
      <c r="M195" s="3">
        <v>1456.94</v>
      </c>
      <c r="O195" s="2">
        <f t="shared" si="6"/>
        <v>1384.0930000000001</v>
      </c>
      <c r="Q195" s="2">
        <f t="shared" si="7"/>
        <v>0.94074942387872806</v>
      </c>
      <c r="S195" s="10">
        <f t="shared" ca="1" si="8"/>
        <v>46044.478013310189</v>
      </c>
    </row>
    <row r="196" spans="1:19" x14ac:dyDescent="0.3">
      <c r="A196" s="2" t="s">
        <v>44</v>
      </c>
      <c r="B196" s="2" t="s">
        <v>61</v>
      </c>
      <c r="C196" s="2" t="s">
        <v>18</v>
      </c>
      <c r="D196" s="2" t="s">
        <v>27</v>
      </c>
      <c r="E196" s="3">
        <v>1093.3800000000001</v>
      </c>
      <c r="F196" s="3">
        <v>17</v>
      </c>
      <c r="G196" s="6">
        <v>0.1</v>
      </c>
      <c r="H196" s="4">
        <v>45745</v>
      </c>
      <c r="I196" s="3">
        <v>344.41</v>
      </c>
      <c r="L196" s="2" t="s">
        <v>61</v>
      </c>
      <c r="M196" s="3">
        <v>1093.3800000000001</v>
      </c>
      <c r="O196" s="2">
        <f t="shared" ref="O196:O202" si="9">E196*(1-G196)</f>
        <v>984.04200000000014</v>
      </c>
      <c r="Q196" s="2">
        <f t="shared" ref="Q196:Q202" si="10">(E196-E195)/E195</f>
        <v>-0.24953670020728372</v>
      </c>
      <c r="S196" s="10">
        <f t="shared" ref="S196:S202" ca="1" si="11">NOW()</f>
        <v>46044.478013310189</v>
      </c>
    </row>
    <row r="197" spans="1:19" x14ac:dyDescent="0.3">
      <c r="A197" s="2" t="s">
        <v>37</v>
      </c>
      <c r="B197" s="2" t="s">
        <v>43</v>
      </c>
      <c r="C197" s="2" t="s">
        <v>11</v>
      </c>
      <c r="D197" s="2" t="s">
        <v>15</v>
      </c>
      <c r="E197" s="3">
        <v>934.27</v>
      </c>
      <c r="F197" s="3">
        <v>8</v>
      </c>
      <c r="G197" s="6">
        <v>0.15</v>
      </c>
      <c r="H197" s="4">
        <v>45746</v>
      </c>
      <c r="I197" s="3">
        <v>397.06</v>
      </c>
      <c r="L197" s="2" t="s">
        <v>43</v>
      </c>
      <c r="M197" s="3">
        <v>934.27</v>
      </c>
      <c r="O197" s="2">
        <f t="shared" si="9"/>
        <v>794.12950000000001</v>
      </c>
      <c r="Q197" s="2">
        <f t="shared" si="10"/>
        <v>-0.14552122775247409</v>
      </c>
      <c r="S197" s="10">
        <f t="shared" ca="1" si="11"/>
        <v>46044.478013310189</v>
      </c>
    </row>
    <row r="198" spans="1:19" x14ac:dyDescent="0.3">
      <c r="A198" s="2" t="s">
        <v>70</v>
      </c>
      <c r="B198" s="2" t="s">
        <v>36</v>
      </c>
      <c r="C198" s="2" t="s">
        <v>34</v>
      </c>
      <c r="D198" s="2" t="s">
        <v>15</v>
      </c>
      <c r="E198" s="3">
        <v>1465.35</v>
      </c>
      <c r="F198" s="3">
        <v>8</v>
      </c>
      <c r="G198" s="6">
        <v>0.2</v>
      </c>
      <c r="H198" s="4">
        <v>45746</v>
      </c>
      <c r="I198" s="3">
        <v>586.14</v>
      </c>
      <c r="L198" s="2" t="s">
        <v>36</v>
      </c>
      <c r="M198" s="3">
        <v>1465.35</v>
      </c>
      <c r="O198" s="2">
        <f t="shared" si="9"/>
        <v>1172.28</v>
      </c>
      <c r="Q198" s="2">
        <f t="shared" si="10"/>
        <v>0.56844381174606906</v>
      </c>
      <c r="S198" s="10">
        <f t="shared" ca="1" si="11"/>
        <v>46044.478013310189</v>
      </c>
    </row>
    <row r="199" spans="1:19" x14ac:dyDescent="0.3">
      <c r="A199" s="2" t="s">
        <v>52</v>
      </c>
      <c r="B199" s="2" t="s">
        <v>14</v>
      </c>
      <c r="C199" s="2" t="s">
        <v>20</v>
      </c>
      <c r="D199" s="2" t="s">
        <v>39</v>
      </c>
      <c r="E199" s="3">
        <v>740.8</v>
      </c>
      <c r="F199" s="3">
        <v>3</v>
      </c>
      <c r="G199" s="6">
        <v>0</v>
      </c>
      <c r="H199" s="4">
        <v>45749</v>
      </c>
      <c r="I199" s="3">
        <v>333.36</v>
      </c>
      <c r="L199" s="2" t="s">
        <v>14</v>
      </c>
      <c r="M199" s="3">
        <v>740.8</v>
      </c>
      <c r="O199" s="2">
        <f t="shared" si="9"/>
        <v>740.8</v>
      </c>
      <c r="Q199" s="2">
        <f t="shared" si="10"/>
        <v>-0.49445524959907189</v>
      </c>
      <c r="S199" s="10">
        <f t="shared" ca="1" si="11"/>
        <v>46044.478013310189</v>
      </c>
    </row>
    <row r="200" spans="1:19" x14ac:dyDescent="0.3">
      <c r="A200" s="2" t="s">
        <v>58</v>
      </c>
      <c r="B200" s="2" t="s">
        <v>43</v>
      </c>
      <c r="C200" s="2" t="s">
        <v>11</v>
      </c>
      <c r="D200" s="2" t="s">
        <v>39</v>
      </c>
      <c r="E200" s="3">
        <v>545.44000000000005</v>
      </c>
      <c r="F200" s="3">
        <v>17</v>
      </c>
      <c r="G200" s="6">
        <v>0</v>
      </c>
      <c r="H200" s="4">
        <v>45752</v>
      </c>
      <c r="I200" s="3">
        <v>245.45</v>
      </c>
      <c r="L200" s="2" t="s">
        <v>43</v>
      </c>
      <c r="M200" s="3">
        <v>545.44000000000005</v>
      </c>
      <c r="O200" s="2">
        <f t="shared" si="9"/>
        <v>545.44000000000005</v>
      </c>
      <c r="Q200" s="2">
        <f t="shared" si="10"/>
        <v>-0.26371490280777526</v>
      </c>
      <c r="S200" s="10">
        <f t="shared" ca="1" si="11"/>
        <v>46044.478013310189</v>
      </c>
    </row>
    <row r="201" spans="1:19" x14ac:dyDescent="0.3">
      <c r="A201" s="2" t="s">
        <v>35</v>
      </c>
      <c r="B201" s="2" t="s">
        <v>36</v>
      </c>
      <c r="C201" s="2" t="s">
        <v>18</v>
      </c>
      <c r="D201" s="2" t="s">
        <v>12</v>
      </c>
      <c r="E201" s="3">
        <v>997.61</v>
      </c>
      <c r="F201" s="3">
        <v>8</v>
      </c>
      <c r="G201" s="6">
        <v>0.05</v>
      </c>
      <c r="H201" s="4">
        <v>45752</v>
      </c>
      <c r="I201" s="3">
        <v>379.09</v>
      </c>
      <c r="L201" s="2" t="s">
        <v>36</v>
      </c>
      <c r="M201" s="3">
        <v>997.61</v>
      </c>
      <c r="O201" s="2">
        <f t="shared" si="9"/>
        <v>947.72949999999992</v>
      </c>
      <c r="Q201" s="2">
        <f t="shared" si="10"/>
        <v>0.82900044001173345</v>
      </c>
      <c r="S201" s="10">
        <f t="shared" ca="1" si="11"/>
        <v>46044.478013310189</v>
      </c>
    </row>
    <row r="202" spans="1:19" x14ac:dyDescent="0.3">
      <c r="A202" s="2" t="s">
        <v>60</v>
      </c>
      <c r="B202" s="2" t="s">
        <v>36</v>
      </c>
      <c r="C202" s="2" t="s">
        <v>20</v>
      </c>
      <c r="D202" s="2" t="s">
        <v>15</v>
      </c>
      <c r="E202" s="3">
        <v>928.32</v>
      </c>
      <c r="F202" s="3">
        <v>2</v>
      </c>
      <c r="G202" s="6">
        <v>0.05</v>
      </c>
      <c r="H202" s="4">
        <v>45754</v>
      </c>
      <c r="I202" s="3">
        <v>440.95</v>
      </c>
      <c r="L202" s="2" t="s">
        <v>36</v>
      </c>
      <c r="M202" s="3">
        <v>928.32</v>
      </c>
      <c r="O202" s="2">
        <f t="shared" si="9"/>
        <v>881.904</v>
      </c>
      <c r="Q202" s="2">
        <f t="shared" si="10"/>
        <v>-6.9455999839616644E-2</v>
      </c>
      <c r="S202" s="10">
        <f t="shared" ca="1" si="11"/>
        <v>46044.478013310189</v>
      </c>
    </row>
  </sheetData>
  <autoFilter ref="A2:I2" xr:uid="{8D5FEFB9-F7B7-4FA1-A839-494A7ED453FB}"/>
  <mergeCells count="6">
    <mergeCell ref="X48:AD48"/>
    <mergeCell ref="L1:M1"/>
    <mergeCell ref="X1:AD1"/>
    <mergeCell ref="X13:AD14"/>
    <mergeCell ref="X15:AD15"/>
    <mergeCell ref="X30:AD30"/>
  </mergeCells>
  <conditionalFormatting sqref="B203:B1048576 E203:E1048576">
    <cfRule type="top10" dxfId="3" priority="4" rank="10"/>
  </conditionalFormatting>
  <conditionalFormatting sqref="L2:L1048576">
    <cfRule type="top10" dxfId="2" priority="3" rank="10"/>
  </conditionalFormatting>
  <conditionalFormatting sqref="L2:M202">
    <cfRule type="top10" dxfId="1" priority="1" rank="10"/>
  </conditionalFormatting>
  <conditionalFormatting sqref="M2:M1048576">
    <cfRule type="top10" dxfId="0" priority="2" rank="10"/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26A8-B7FA-4FC2-8A56-415E006AB315}">
  <dimension ref="A1:I18"/>
  <sheetViews>
    <sheetView workbookViewId="0">
      <selection activeCell="B23" sqref="B23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78</v>
      </c>
    </row>
    <row r="2" spans="1:9" ht="15" thickBot="1" x14ac:dyDescent="0.35"/>
    <row r="3" spans="1:9" x14ac:dyDescent="0.3">
      <c r="A3" s="9" t="s">
        <v>79</v>
      </c>
      <c r="B3" s="9"/>
    </row>
    <row r="4" spans="1:9" x14ac:dyDescent="0.3">
      <c r="A4" t="s">
        <v>80</v>
      </c>
      <c r="B4">
        <v>0.74690015607003712</v>
      </c>
    </row>
    <row r="5" spans="1:9" x14ac:dyDescent="0.3">
      <c r="A5" t="s">
        <v>81</v>
      </c>
      <c r="B5">
        <v>0.55785984313744585</v>
      </c>
    </row>
    <row r="6" spans="1:9" x14ac:dyDescent="0.3">
      <c r="A6" t="s">
        <v>82</v>
      </c>
      <c r="B6">
        <v>0.55325421650346096</v>
      </c>
    </row>
    <row r="7" spans="1:9" x14ac:dyDescent="0.3">
      <c r="A7" t="s">
        <v>83</v>
      </c>
      <c r="B7">
        <v>84.978102394990628</v>
      </c>
    </row>
    <row r="8" spans="1:9" ht="15" thickBot="1" x14ac:dyDescent="0.35">
      <c r="A8" s="7" t="s">
        <v>84</v>
      </c>
      <c r="B8" s="7">
        <v>98</v>
      </c>
    </row>
    <row r="10" spans="1:9" ht="15" thickBot="1" x14ac:dyDescent="0.35">
      <c r="A10" t="s">
        <v>85</v>
      </c>
    </row>
    <row r="11" spans="1:9" x14ac:dyDescent="0.3">
      <c r="A11" s="8"/>
      <c r="B11" s="8" t="s">
        <v>90</v>
      </c>
      <c r="C11" s="8" t="s">
        <v>91</v>
      </c>
      <c r="D11" s="8" t="s">
        <v>92</v>
      </c>
      <c r="E11" s="8" t="s">
        <v>93</v>
      </c>
      <c r="F11" s="8" t="s">
        <v>94</v>
      </c>
    </row>
    <row r="12" spans="1:9" x14ac:dyDescent="0.3">
      <c r="A12" t="s">
        <v>86</v>
      </c>
      <c r="B12">
        <v>1</v>
      </c>
      <c r="C12">
        <v>874682.48497922183</v>
      </c>
      <c r="D12">
        <v>874682.48497922183</v>
      </c>
      <c r="E12">
        <v>121.12572022686244</v>
      </c>
      <c r="F12">
        <v>1.0467514073999625E-18</v>
      </c>
    </row>
    <row r="13" spans="1:9" x14ac:dyDescent="0.3">
      <c r="A13" t="s">
        <v>87</v>
      </c>
      <c r="B13">
        <v>96</v>
      </c>
      <c r="C13">
        <v>693242.67711873725</v>
      </c>
      <c r="D13">
        <v>7221.2778866535127</v>
      </c>
    </row>
    <row r="14" spans="1:9" ht="15" thickBot="1" x14ac:dyDescent="0.35">
      <c r="A14" s="7" t="s">
        <v>88</v>
      </c>
      <c r="B14" s="7">
        <v>97</v>
      </c>
      <c r="C14" s="7">
        <v>1567925.1620979591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95</v>
      </c>
      <c r="C16" s="8" t="s">
        <v>83</v>
      </c>
      <c r="D16" s="8" t="s">
        <v>96</v>
      </c>
      <c r="E16" s="8" t="s">
        <v>97</v>
      </c>
      <c r="F16" s="8" t="s">
        <v>98</v>
      </c>
      <c r="G16" s="8" t="s">
        <v>99</v>
      </c>
      <c r="H16" s="8" t="s">
        <v>100</v>
      </c>
      <c r="I16" s="8" t="s">
        <v>101</v>
      </c>
    </row>
    <row r="17" spans="1:9" x14ac:dyDescent="0.3">
      <c r="A17" t="s">
        <v>89</v>
      </c>
      <c r="B17">
        <v>-14.143381573188094</v>
      </c>
      <c r="C17">
        <v>32.464137987341537</v>
      </c>
      <c r="D17">
        <v>-0.43566170088061174</v>
      </c>
      <c r="E17">
        <v>0.66406021927071279</v>
      </c>
      <c r="F17">
        <v>-78.584186165161256</v>
      </c>
      <c r="G17">
        <v>50.297423018785068</v>
      </c>
      <c r="H17">
        <v>-78.584186165161256</v>
      </c>
      <c r="I17">
        <v>50.297423018785068</v>
      </c>
    </row>
    <row r="18" spans="1:9" ht="15" thickBot="1" x14ac:dyDescent="0.35">
      <c r="A18" s="7" t="s">
        <v>102</v>
      </c>
      <c r="B18" s="7">
        <v>0.34937376363252509</v>
      </c>
      <c r="C18" s="7">
        <v>3.1744763955012099E-2</v>
      </c>
      <c r="D18" s="7">
        <v>11.005713072166769</v>
      </c>
      <c r="E18" s="7">
        <v>1.046751407399955E-18</v>
      </c>
      <c r="F18" s="7">
        <v>0.2863609052088425</v>
      </c>
      <c r="G18" s="7">
        <v>0.41238662205620769</v>
      </c>
      <c r="H18" s="7">
        <v>0.2863609052088425</v>
      </c>
      <c r="I18" s="7">
        <v>0.41238662205620769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5AF9-3DD1-407A-8F36-6808A3C51FA0}">
  <dimension ref="A1:B15"/>
  <sheetViews>
    <sheetView workbookViewId="0">
      <selection activeCell="A3" sqref="A3"/>
    </sheetView>
  </sheetViews>
  <sheetFormatPr defaultRowHeight="14.4" x14ac:dyDescent="0.3"/>
  <cols>
    <col min="1" max="1" width="16.5546875" bestFit="1" customWidth="1"/>
    <col min="2" max="2" width="12.6640625" bestFit="1" customWidth="1"/>
  </cols>
  <sheetData>
    <row r="1" spans="1:2" x14ac:dyDescent="0.3">
      <c r="A1" s="9" t="s">
        <v>103</v>
      </c>
      <c r="B1" s="9"/>
    </row>
    <row r="3" spans="1:2" x14ac:dyDescent="0.3">
      <c r="A3" t="s">
        <v>104</v>
      </c>
      <c r="B3">
        <v>986.26295918367339</v>
      </c>
    </row>
    <row r="4" spans="1:2" x14ac:dyDescent="0.3">
      <c r="A4" t="s">
        <v>83</v>
      </c>
      <c r="B4">
        <v>27.455921326922297</v>
      </c>
    </row>
    <row r="5" spans="1:2" x14ac:dyDescent="0.3">
      <c r="A5" t="s">
        <v>105</v>
      </c>
      <c r="B5">
        <v>977.23</v>
      </c>
    </row>
    <row r="6" spans="1:2" x14ac:dyDescent="0.3">
      <c r="A6" t="s">
        <v>106</v>
      </c>
      <c r="B6" t="e">
        <v>#N/A</v>
      </c>
    </row>
    <row r="7" spans="1:2" x14ac:dyDescent="0.3">
      <c r="A7" t="s">
        <v>107</v>
      </c>
      <c r="B7">
        <v>271.79975415587552</v>
      </c>
    </row>
    <row r="8" spans="1:2" x14ac:dyDescent="0.3">
      <c r="A8" t="s">
        <v>108</v>
      </c>
      <c r="B8">
        <v>73875.106359194382</v>
      </c>
    </row>
    <row r="9" spans="1:2" x14ac:dyDescent="0.3">
      <c r="A9" t="s">
        <v>109</v>
      </c>
      <c r="B9">
        <v>-0.57825498879181669</v>
      </c>
    </row>
    <row r="10" spans="1:2" x14ac:dyDescent="0.3">
      <c r="A10" t="s">
        <v>110</v>
      </c>
      <c r="B10">
        <v>1.2707938022073031E-2</v>
      </c>
    </row>
    <row r="11" spans="1:2" x14ac:dyDescent="0.3">
      <c r="A11" t="s">
        <v>111</v>
      </c>
      <c r="B11">
        <v>1184.26</v>
      </c>
    </row>
    <row r="12" spans="1:2" x14ac:dyDescent="0.3">
      <c r="A12" t="s">
        <v>112</v>
      </c>
      <c r="B12">
        <v>388.56</v>
      </c>
    </row>
    <row r="13" spans="1:2" x14ac:dyDescent="0.3">
      <c r="A13" t="s">
        <v>113</v>
      </c>
      <c r="B13">
        <v>1572.82</v>
      </c>
    </row>
    <row r="14" spans="1:2" x14ac:dyDescent="0.3">
      <c r="A14" t="s">
        <v>114</v>
      </c>
      <c r="B14">
        <v>96653.76999999999</v>
      </c>
    </row>
    <row r="15" spans="1:2" ht="15" thickBot="1" x14ac:dyDescent="0.35">
      <c r="A15" s="7" t="s">
        <v>115</v>
      </c>
      <c r="B15" s="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Dashbord</vt:lpstr>
      <vt:lpstr>Data</vt:lpstr>
      <vt:lpstr>Linear Regression (Sales vs Pro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Arya Patel</cp:lastModifiedBy>
  <dcterms:created xsi:type="dcterms:W3CDTF">2026-01-20T14:20:11Z</dcterms:created>
  <dcterms:modified xsi:type="dcterms:W3CDTF">2026-01-22T05:58:51Z</dcterms:modified>
</cp:coreProperties>
</file>